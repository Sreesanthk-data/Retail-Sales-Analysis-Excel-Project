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b412d604ebd2a93b/Documents/"/>
    </mc:Choice>
  </mc:AlternateContent>
  <xr:revisionPtr revIDLastSave="443" documentId="8_{D9B1DB51-74B9-4078-9A7B-EF2B0556C08D}" xr6:coauthVersionLast="47" xr6:coauthVersionMax="47" xr10:uidLastSave="{394F1D5D-7B9C-451B-A815-7766A70EA9B8}"/>
  <bookViews>
    <workbookView xWindow="-108" yWindow="-108" windowWidth="23256" windowHeight="12456" activeTab="2" xr2:uid="{E2EA8005-9624-486B-A863-2E0FAA090FC2}"/>
  </bookViews>
  <sheets>
    <sheet name="PIVOT TABLES" sheetId="6" r:id="rId1"/>
    <sheet name="DASHBOARD" sheetId="9" r:id="rId2"/>
    <sheet name="DATASET AFTER" sheetId="3" r:id="rId3"/>
    <sheet name="ANALYSIS" sheetId="5" r:id="rId4"/>
    <sheet name="DATASET BEFORE" sheetId="4" r:id="rId5"/>
  </sheets>
  <definedNames>
    <definedName name="Slicer_Product">#N/A</definedName>
    <definedName name="Slicer_Region">#N/A</definedName>
  </definedNames>
  <calcPr calcId="191029"/>
  <pivotCaches>
    <pivotCache cacheId="6"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5" i="5" l="1"/>
  <c r="L14" i="5"/>
  <c r="L13"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2" i="5"/>
  <c r="L12" i="5"/>
  <c r="L11" i="5"/>
  <c r="L10" i="5"/>
  <c r="L9" i="5"/>
  <c r="L8" i="5"/>
  <c r="L7" i="5"/>
  <c r="L6" i="5"/>
  <c r="L5" i="5"/>
  <c r="L4" i="5"/>
  <c r="L3" i="5"/>
  <c r="I51" i="3"/>
  <c r="I50" i="3"/>
  <c r="I49" i="3"/>
  <c r="I48" i="3"/>
  <c r="I47" i="3"/>
  <c r="I46" i="3"/>
  <c r="I45" i="3"/>
  <c r="I44" i="3"/>
  <c r="I43" i="3"/>
  <c r="I42" i="3"/>
  <c r="I41" i="3"/>
  <c r="I40" i="3"/>
  <c r="I39" i="3"/>
  <c r="I38" i="3"/>
  <c r="I37" i="3"/>
  <c r="I36" i="3"/>
  <c r="I35" i="3"/>
  <c r="I34" i="3"/>
  <c r="I33" i="3"/>
  <c r="I32" i="3"/>
  <c r="I31" i="3"/>
  <c r="I30" i="3"/>
  <c r="I29" i="3"/>
  <c r="I28" i="3"/>
  <c r="I27" i="3"/>
  <c r="I26" i="3"/>
  <c r="I25" i="3"/>
  <c r="I24" i="3"/>
  <c r="I23" i="3"/>
  <c r="I22" i="3"/>
  <c r="I21" i="3"/>
  <c r="I20" i="3"/>
  <c r="I19" i="3"/>
  <c r="I18" i="3"/>
  <c r="I17" i="3"/>
  <c r="I16" i="3"/>
  <c r="I15" i="3"/>
  <c r="I14" i="3"/>
  <c r="I13" i="3"/>
  <c r="I12" i="3"/>
  <c r="I11" i="3"/>
  <c r="I10" i="3"/>
  <c r="I9" i="3"/>
  <c r="I8" i="3"/>
  <c r="I7" i="3"/>
  <c r="I6" i="3"/>
  <c r="I5" i="3"/>
  <c r="I4" i="3"/>
  <c r="I3" i="3"/>
  <c r="I2" i="3"/>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2" i="5"/>
  <c r="L2" i="5"/>
</calcChain>
</file>

<file path=xl/sharedStrings.xml><?xml version="1.0" encoding="utf-8"?>
<sst xmlns="http://schemas.openxmlformats.org/spreadsheetml/2006/main" count="687" uniqueCount="133">
  <si>
    <t>Date</t>
  </si>
  <si>
    <t>Product</t>
  </si>
  <si>
    <t>Category</t>
  </si>
  <si>
    <t>Region</t>
  </si>
  <si>
    <t>Quantity</t>
  </si>
  <si>
    <t>Price</t>
  </si>
  <si>
    <t>Salesperson</t>
  </si>
  <si>
    <t>Rating</t>
  </si>
  <si>
    <t>Biscuit</t>
  </si>
  <si>
    <t>Snacks</t>
  </si>
  <si>
    <t>North</t>
  </si>
  <si>
    <t>Ashwin</t>
  </si>
  <si>
    <t>Chips</t>
  </si>
  <si>
    <t>South</t>
  </si>
  <si>
    <t>Rahul</t>
  </si>
  <si>
    <t>Coke</t>
  </si>
  <si>
    <t>Beverage</t>
  </si>
  <si>
    <t>East</t>
  </si>
  <si>
    <t>Meera</t>
  </si>
  <si>
    <t>Milk</t>
  </si>
  <si>
    <t>Dairy</t>
  </si>
  <si>
    <t>West</t>
  </si>
  <si>
    <t>Sneha</t>
  </si>
  <si>
    <t>Bread</t>
  </si>
  <si>
    <t>Bakery</t>
  </si>
  <si>
    <t>Arjun</t>
  </si>
  <si>
    <t>Butter</t>
  </si>
  <si>
    <t>Neha</t>
  </si>
  <si>
    <t>Cake</t>
  </si>
  <si>
    <t xml:space="preserve"> biscuit </t>
  </si>
  <si>
    <t xml:space="preserve">snaks </t>
  </si>
  <si>
    <t xml:space="preserve">North </t>
  </si>
  <si>
    <t xml:space="preserve">Ashwin </t>
  </si>
  <si>
    <t>snacks</t>
  </si>
  <si>
    <t xml:space="preserve"> south</t>
  </si>
  <si>
    <t>rahul</t>
  </si>
  <si>
    <t xml:space="preserve">coke </t>
  </si>
  <si>
    <t xml:space="preserve">Beverage </t>
  </si>
  <si>
    <t>8 pcs</t>
  </si>
  <si>
    <t xml:space="preserve"> DAIRY</t>
  </si>
  <si>
    <t xml:space="preserve"> west </t>
  </si>
  <si>
    <t>bread</t>
  </si>
  <si>
    <t xml:space="preserve">bakry </t>
  </si>
  <si>
    <t xml:space="preserve"> North</t>
  </si>
  <si>
    <t xml:space="preserve"> six </t>
  </si>
  <si>
    <t xml:space="preserve"> arjun</t>
  </si>
  <si>
    <t xml:space="preserve"> Neha </t>
  </si>
  <si>
    <t xml:space="preserve">Bakery </t>
  </si>
  <si>
    <t xml:space="preserve"> chips </t>
  </si>
  <si>
    <t xml:space="preserve"> West</t>
  </si>
  <si>
    <t>coke</t>
  </si>
  <si>
    <t>beverages</t>
  </si>
  <si>
    <t>north</t>
  </si>
  <si>
    <t>30rs</t>
  </si>
  <si>
    <t>three</t>
  </si>
  <si>
    <t>mIlk</t>
  </si>
  <si>
    <t xml:space="preserve"> dairy </t>
  </si>
  <si>
    <t xml:space="preserve"> south </t>
  </si>
  <si>
    <t xml:space="preserve">Sneha </t>
  </si>
  <si>
    <t xml:space="preserve"> Bread </t>
  </si>
  <si>
    <t>bakery</t>
  </si>
  <si>
    <t>7 units</t>
  </si>
  <si>
    <t xml:space="preserve">butter </t>
  </si>
  <si>
    <t xml:space="preserve"> north </t>
  </si>
  <si>
    <t xml:space="preserve">bakery </t>
  </si>
  <si>
    <t xml:space="preserve">South </t>
  </si>
  <si>
    <t xml:space="preserve"> three</t>
  </si>
  <si>
    <t>BISCUT</t>
  </si>
  <si>
    <t xml:space="preserve">snacks </t>
  </si>
  <si>
    <t xml:space="preserve">Rahul </t>
  </si>
  <si>
    <t>chips</t>
  </si>
  <si>
    <t xml:space="preserve"> Snacks</t>
  </si>
  <si>
    <t xml:space="preserve">ten </t>
  </si>
  <si>
    <t xml:space="preserve">milk </t>
  </si>
  <si>
    <t>dairy</t>
  </si>
  <si>
    <t xml:space="preserve">East </t>
  </si>
  <si>
    <t xml:space="preserve"> sneha </t>
  </si>
  <si>
    <t>biscuit</t>
  </si>
  <si>
    <t xml:space="preserve">south </t>
  </si>
  <si>
    <t xml:space="preserve"> bread</t>
  </si>
  <si>
    <t xml:space="preserve">cake </t>
  </si>
  <si>
    <t xml:space="preserve"> bakery</t>
  </si>
  <si>
    <t xml:space="preserve"> Beverage </t>
  </si>
  <si>
    <t>Thirty</t>
  </si>
  <si>
    <t xml:space="preserve"> biscute </t>
  </si>
  <si>
    <t xml:space="preserve">west </t>
  </si>
  <si>
    <t xml:space="preserve">dairy </t>
  </si>
  <si>
    <t xml:space="preserve">Meera </t>
  </si>
  <si>
    <t>cake</t>
  </si>
  <si>
    <t xml:space="preserve">chips </t>
  </si>
  <si>
    <t>SNACKS</t>
  </si>
  <si>
    <t>four</t>
  </si>
  <si>
    <t xml:space="preserve"> milk </t>
  </si>
  <si>
    <t xml:space="preserve">Dairy </t>
  </si>
  <si>
    <t>BAKERY</t>
  </si>
  <si>
    <t>Five</t>
  </si>
  <si>
    <t>1/16/25</t>
  </si>
  <si>
    <t xml:space="preserve">biscuit </t>
  </si>
  <si>
    <t>buttr</t>
  </si>
  <si>
    <t xml:space="preserve">Bread </t>
  </si>
  <si>
    <t xml:space="preserve">four </t>
  </si>
  <si>
    <t xml:space="preserve"> Arjun</t>
  </si>
  <si>
    <t>15 pcs</t>
  </si>
  <si>
    <t>1/18/25</t>
  </si>
  <si>
    <t xml:space="preserve"> West </t>
  </si>
  <si>
    <t>Snaks</t>
  </si>
  <si>
    <t xml:space="preserve">West </t>
  </si>
  <si>
    <t xml:space="preserve">Arjun </t>
  </si>
  <si>
    <t>butter</t>
  </si>
  <si>
    <t xml:space="preserve">bread </t>
  </si>
  <si>
    <t xml:space="preserve"> Meera</t>
  </si>
  <si>
    <t>01/21/2025</t>
  </si>
  <si>
    <t xml:space="preserve">SNACKS </t>
  </si>
  <si>
    <t>1/22/2025</t>
  </si>
  <si>
    <t xml:space="preserve">beverage </t>
  </si>
  <si>
    <t xml:space="preserve">Milk </t>
  </si>
  <si>
    <t xml:space="preserve"> snacks </t>
  </si>
  <si>
    <t xml:space="preserve">Snacks </t>
  </si>
  <si>
    <t>Biscut</t>
  </si>
  <si>
    <t>Beverages</t>
  </si>
  <si>
    <t>Unknown</t>
  </si>
  <si>
    <t>Revenue</t>
  </si>
  <si>
    <t>High Rating</t>
  </si>
  <si>
    <t>Row Labels</t>
  </si>
  <si>
    <t>Grand Total</t>
  </si>
  <si>
    <t>Sum of Revenue</t>
  </si>
  <si>
    <t>Sum of Quantity</t>
  </si>
  <si>
    <t>Average of Rating</t>
  </si>
  <si>
    <t>Jan</t>
  </si>
  <si>
    <t>Jun</t>
  </si>
  <si>
    <t>Sep</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</si>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</sst>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u/>
      <sz val="11"/>
      <color rgb="FF00B0F0"/>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1" fillId="0" borderId="0" xfId="0" applyFont="1"/>
    <xf numFmtId="14" fontId="1" fillId="0" borderId="0" xfId="0" applyNumberFormat="1" applyFont="1"/>
    <xf numFmtId="0" fontId="0" fillId="0" borderId="0" xfId="0" pivotButton="1"/>
    <xf numFmtId="0" fontId="0" fillId="0" borderId="0" xfId="0" applyAlignment="1">
      <alignment horizontal="left"/>
    </xf>
    <xf numFmtId="0" fontId="0" fillId="0" borderId="0" xfId="0" applyNumberForma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Excel Project.xlsx]PIVOT TABLES!PivotTable1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TABLES'!$A$4:$A$9</c:f>
              <c:strCache>
                <c:ptCount val="5"/>
                <c:pt idx="0">
                  <c:v>Bakery</c:v>
                </c:pt>
                <c:pt idx="1">
                  <c:v>Snacks</c:v>
                </c:pt>
                <c:pt idx="2">
                  <c:v>Dairy</c:v>
                </c:pt>
                <c:pt idx="3">
                  <c:v>Beverage</c:v>
                </c:pt>
                <c:pt idx="4">
                  <c:v>Beverages</c:v>
                </c:pt>
              </c:strCache>
            </c:strRef>
          </c:cat>
          <c:val>
            <c:numRef>
              <c:f>'PIVOT TABLES'!$B$4:$B$9</c:f>
              <c:numCache>
                <c:formatCode>General</c:formatCode>
                <c:ptCount val="5"/>
                <c:pt idx="0">
                  <c:v>3984</c:v>
                </c:pt>
                <c:pt idx="1">
                  <c:v>3185</c:v>
                </c:pt>
                <c:pt idx="2">
                  <c:v>2175</c:v>
                </c:pt>
                <c:pt idx="3">
                  <c:v>2130</c:v>
                </c:pt>
                <c:pt idx="4">
                  <c:v>450</c:v>
                </c:pt>
              </c:numCache>
            </c:numRef>
          </c:val>
          <c:extLst>
            <c:ext xmlns:c16="http://schemas.microsoft.com/office/drawing/2014/chart" uri="{C3380CC4-5D6E-409C-BE32-E72D297353CC}">
              <c16:uniqueId val="{00000000-F67D-475F-80A1-BB9F891FC984}"/>
            </c:ext>
          </c:extLst>
        </c:ser>
        <c:dLbls>
          <c:dLblPos val="outEnd"/>
          <c:showLegendKey val="0"/>
          <c:showVal val="1"/>
          <c:showCatName val="0"/>
          <c:showSerName val="0"/>
          <c:showPercent val="0"/>
          <c:showBubbleSize val="0"/>
        </c:dLbls>
        <c:gapWidth val="115"/>
        <c:overlap val="-20"/>
        <c:axId val="1713481936"/>
        <c:axId val="1713498736"/>
      </c:barChart>
      <c:catAx>
        <c:axId val="171348193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3498736"/>
        <c:crosses val="autoZero"/>
        <c:auto val="1"/>
        <c:lblAlgn val="ctr"/>
        <c:lblOffset val="100"/>
        <c:noMultiLvlLbl val="0"/>
      </c:catAx>
      <c:valAx>
        <c:axId val="171349873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3481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Excel Project.xlsx]PIVOT TABLES!PivotTable4</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TABLES'!$B$12</c:f>
              <c:strCache>
                <c:ptCount val="1"/>
                <c:pt idx="0">
                  <c:v>Sum of Revenue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TABLES'!$A$13:$A$20</c:f>
              <c:strCache>
                <c:ptCount val="7"/>
                <c:pt idx="0">
                  <c:v>Ashwin</c:v>
                </c:pt>
                <c:pt idx="1">
                  <c:v>Neha</c:v>
                </c:pt>
                <c:pt idx="2">
                  <c:v>Sneha</c:v>
                </c:pt>
                <c:pt idx="3">
                  <c:v>Rahul</c:v>
                </c:pt>
                <c:pt idx="4">
                  <c:v>Arjun</c:v>
                </c:pt>
                <c:pt idx="5">
                  <c:v>Meera</c:v>
                </c:pt>
                <c:pt idx="6">
                  <c:v>Unknown</c:v>
                </c:pt>
              </c:strCache>
            </c:strRef>
          </c:cat>
          <c:val>
            <c:numRef>
              <c:f>'PIVOT TABLES'!$B$13:$B$20</c:f>
              <c:numCache>
                <c:formatCode>General</c:formatCode>
                <c:ptCount val="7"/>
                <c:pt idx="0">
                  <c:v>2385</c:v>
                </c:pt>
                <c:pt idx="1">
                  <c:v>2020</c:v>
                </c:pt>
                <c:pt idx="2">
                  <c:v>1885</c:v>
                </c:pt>
                <c:pt idx="3">
                  <c:v>1835</c:v>
                </c:pt>
                <c:pt idx="4">
                  <c:v>1770</c:v>
                </c:pt>
                <c:pt idx="5">
                  <c:v>1469</c:v>
                </c:pt>
                <c:pt idx="6">
                  <c:v>560</c:v>
                </c:pt>
              </c:numCache>
            </c:numRef>
          </c:val>
          <c:extLst>
            <c:ext xmlns:c16="http://schemas.microsoft.com/office/drawing/2014/chart" uri="{C3380CC4-5D6E-409C-BE32-E72D297353CC}">
              <c16:uniqueId val="{00000000-6EC8-4CB0-B2CF-336F26EE9CA3}"/>
            </c:ext>
          </c:extLst>
        </c:ser>
        <c:ser>
          <c:idx val="1"/>
          <c:order val="1"/>
          <c:tx>
            <c:strRef>
              <c:f>'PIVOT TABLES'!$C$12</c:f>
              <c:strCache>
                <c:ptCount val="1"/>
                <c:pt idx="0">
                  <c:v>Average of Rating</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TABLES'!$A$13:$A$20</c:f>
              <c:strCache>
                <c:ptCount val="7"/>
                <c:pt idx="0">
                  <c:v>Ashwin</c:v>
                </c:pt>
                <c:pt idx="1">
                  <c:v>Neha</c:v>
                </c:pt>
                <c:pt idx="2">
                  <c:v>Sneha</c:v>
                </c:pt>
                <c:pt idx="3">
                  <c:v>Rahul</c:v>
                </c:pt>
                <c:pt idx="4">
                  <c:v>Arjun</c:v>
                </c:pt>
                <c:pt idx="5">
                  <c:v>Meera</c:v>
                </c:pt>
                <c:pt idx="6">
                  <c:v>Unknown</c:v>
                </c:pt>
              </c:strCache>
            </c:strRef>
          </c:cat>
          <c:val>
            <c:numRef>
              <c:f>'PIVOT TABLES'!$C$13:$C$20</c:f>
              <c:numCache>
                <c:formatCode>General</c:formatCode>
                <c:ptCount val="7"/>
                <c:pt idx="0">
                  <c:v>4</c:v>
                </c:pt>
                <c:pt idx="1">
                  <c:v>4</c:v>
                </c:pt>
                <c:pt idx="2">
                  <c:v>3.2222222222222223</c:v>
                </c:pt>
                <c:pt idx="3">
                  <c:v>4.333333333333333</c:v>
                </c:pt>
                <c:pt idx="4">
                  <c:v>3.8571428571428572</c:v>
                </c:pt>
                <c:pt idx="5">
                  <c:v>3.8571428571428572</c:v>
                </c:pt>
                <c:pt idx="6">
                  <c:v>4.5</c:v>
                </c:pt>
              </c:numCache>
            </c:numRef>
          </c:val>
          <c:extLst>
            <c:ext xmlns:c16="http://schemas.microsoft.com/office/drawing/2014/chart" uri="{C3380CC4-5D6E-409C-BE32-E72D297353CC}">
              <c16:uniqueId val="{00000001-6EC8-4CB0-B2CF-336F26EE9CA3}"/>
            </c:ext>
          </c:extLst>
        </c:ser>
        <c:dLbls>
          <c:showLegendKey val="0"/>
          <c:showVal val="0"/>
          <c:showCatName val="0"/>
          <c:showSerName val="0"/>
          <c:showPercent val="0"/>
          <c:showBubbleSize val="0"/>
        </c:dLbls>
        <c:gapWidth val="315"/>
        <c:overlap val="-40"/>
        <c:axId val="1717549296"/>
        <c:axId val="1717544496"/>
      </c:barChart>
      <c:catAx>
        <c:axId val="171754929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7544496"/>
        <c:crosses val="autoZero"/>
        <c:auto val="1"/>
        <c:lblAlgn val="ctr"/>
        <c:lblOffset val="100"/>
        <c:noMultiLvlLbl val="0"/>
      </c:catAx>
      <c:valAx>
        <c:axId val="17175444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754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Excel Project.xlsx]PIVOT TABLES!PivotTable2</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TABLES'!$D$4:$D$8</c:f>
              <c:strCache>
                <c:ptCount val="4"/>
                <c:pt idx="0">
                  <c:v>East</c:v>
                </c:pt>
                <c:pt idx="1">
                  <c:v>North</c:v>
                </c:pt>
                <c:pt idx="2">
                  <c:v>West</c:v>
                </c:pt>
                <c:pt idx="3">
                  <c:v>South</c:v>
                </c:pt>
              </c:strCache>
            </c:strRef>
          </c:cat>
          <c:val>
            <c:numRef>
              <c:f>'PIVOT TABLES'!$E$4:$E$8</c:f>
              <c:numCache>
                <c:formatCode>General</c:formatCode>
                <c:ptCount val="4"/>
                <c:pt idx="0">
                  <c:v>113</c:v>
                </c:pt>
                <c:pt idx="1">
                  <c:v>111</c:v>
                </c:pt>
                <c:pt idx="2">
                  <c:v>98</c:v>
                </c:pt>
                <c:pt idx="3">
                  <c:v>92</c:v>
                </c:pt>
              </c:numCache>
            </c:numRef>
          </c:val>
          <c:extLst>
            <c:ext xmlns:c16="http://schemas.microsoft.com/office/drawing/2014/chart" uri="{C3380CC4-5D6E-409C-BE32-E72D297353CC}">
              <c16:uniqueId val="{00000000-43B2-4014-BD98-CED125C601D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Excel Project.xlsx]PIVOT TABLES!PivotTable3</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TABLES'!$H$3</c:f>
              <c:strCache>
                <c:ptCount val="1"/>
                <c:pt idx="0">
                  <c:v>Sum of Revenue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TABLES'!$G$4:$G$12</c:f>
              <c:strCache>
                <c:ptCount val="8"/>
                <c:pt idx="0">
                  <c:v>Coke</c:v>
                </c:pt>
                <c:pt idx="1">
                  <c:v>Biscuit</c:v>
                </c:pt>
                <c:pt idx="2">
                  <c:v>Chips</c:v>
                </c:pt>
                <c:pt idx="3">
                  <c:v>Milk</c:v>
                </c:pt>
                <c:pt idx="4">
                  <c:v>Bread</c:v>
                </c:pt>
                <c:pt idx="5">
                  <c:v>Cake</c:v>
                </c:pt>
                <c:pt idx="6">
                  <c:v>Biscut</c:v>
                </c:pt>
                <c:pt idx="7">
                  <c:v>Butter</c:v>
                </c:pt>
              </c:strCache>
            </c:strRef>
          </c:cat>
          <c:val>
            <c:numRef>
              <c:f>'PIVOT TABLES'!$H$4:$H$12</c:f>
              <c:numCache>
                <c:formatCode>General</c:formatCode>
                <c:ptCount val="8"/>
                <c:pt idx="0">
                  <c:v>2580</c:v>
                </c:pt>
                <c:pt idx="1">
                  <c:v>1600</c:v>
                </c:pt>
                <c:pt idx="2">
                  <c:v>1185</c:v>
                </c:pt>
                <c:pt idx="3">
                  <c:v>1375</c:v>
                </c:pt>
                <c:pt idx="4">
                  <c:v>864</c:v>
                </c:pt>
                <c:pt idx="5">
                  <c:v>3120</c:v>
                </c:pt>
                <c:pt idx="6">
                  <c:v>400</c:v>
                </c:pt>
                <c:pt idx="7">
                  <c:v>800</c:v>
                </c:pt>
              </c:numCache>
            </c:numRef>
          </c:val>
          <c:extLst>
            <c:ext xmlns:c16="http://schemas.microsoft.com/office/drawing/2014/chart" uri="{C3380CC4-5D6E-409C-BE32-E72D297353CC}">
              <c16:uniqueId val="{00000000-3FA1-4227-A540-8985B8B1AD64}"/>
            </c:ext>
          </c:extLst>
        </c:ser>
        <c:ser>
          <c:idx val="1"/>
          <c:order val="1"/>
          <c:tx>
            <c:strRef>
              <c:f>'PIVOT TABLES'!$I$3</c:f>
              <c:strCache>
                <c:ptCount val="1"/>
                <c:pt idx="0">
                  <c:v>Sum of Quantity</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TABLES'!$G$4:$G$12</c:f>
              <c:strCache>
                <c:ptCount val="8"/>
                <c:pt idx="0">
                  <c:v>Coke</c:v>
                </c:pt>
                <c:pt idx="1">
                  <c:v>Biscuit</c:v>
                </c:pt>
                <c:pt idx="2">
                  <c:v>Chips</c:v>
                </c:pt>
                <c:pt idx="3">
                  <c:v>Milk</c:v>
                </c:pt>
                <c:pt idx="4">
                  <c:v>Bread</c:v>
                </c:pt>
                <c:pt idx="5">
                  <c:v>Cake</c:v>
                </c:pt>
                <c:pt idx="6">
                  <c:v>Biscut</c:v>
                </c:pt>
                <c:pt idx="7">
                  <c:v>Butter</c:v>
                </c:pt>
              </c:strCache>
            </c:strRef>
          </c:cat>
          <c:val>
            <c:numRef>
              <c:f>'PIVOT TABLES'!$I$4:$I$12</c:f>
              <c:numCache>
                <c:formatCode>General</c:formatCode>
                <c:ptCount val="8"/>
                <c:pt idx="0">
                  <c:v>86</c:v>
                </c:pt>
                <c:pt idx="1">
                  <c:v>80</c:v>
                </c:pt>
                <c:pt idx="2">
                  <c:v>79</c:v>
                </c:pt>
                <c:pt idx="3">
                  <c:v>55</c:v>
                </c:pt>
                <c:pt idx="4">
                  <c:v>48</c:v>
                </c:pt>
                <c:pt idx="5">
                  <c:v>26</c:v>
                </c:pt>
                <c:pt idx="6">
                  <c:v>20</c:v>
                </c:pt>
                <c:pt idx="7">
                  <c:v>20</c:v>
                </c:pt>
              </c:numCache>
            </c:numRef>
          </c:val>
          <c:extLst>
            <c:ext xmlns:c16="http://schemas.microsoft.com/office/drawing/2014/chart" uri="{C3380CC4-5D6E-409C-BE32-E72D297353CC}">
              <c16:uniqueId val="{00000001-3FA1-4227-A540-8985B8B1AD64}"/>
            </c:ext>
          </c:extLst>
        </c:ser>
        <c:dLbls>
          <c:dLblPos val="outEnd"/>
          <c:showLegendKey val="0"/>
          <c:showVal val="1"/>
          <c:showCatName val="0"/>
          <c:showSerName val="0"/>
          <c:showPercent val="0"/>
          <c:showBubbleSize val="0"/>
        </c:dLbls>
        <c:gapWidth val="315"/>
        <c:overlap val="-40"/>
        <c:axId val="1877976128"/>
        <c:axId val="1877978528"/>
      </c:barChart>
      <c:catAx>
        <c:axId val="187797612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77978528"/>
        <c:crosses val="autoZero"/>
        <c:auto val="1"/>
        <c:lblAlgn val="ctr"/>
        <c:lblOffset val="100"/>
        <c:noMultiLvlLbl val="0"/>
      </c:catAx>
      <c:valAx>
        <c:axId val="18779785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77976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Excel Project.xlsx]PIVOT TABLES!PivotTable6</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TABLES'!$F$15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TABLES'!$E$16:$E$19</c:f>
              <c:strCache>
                <c:ptCount val="3"/>
                <c:pt idx="0">
                  <c:v>Jan</c:v>
                </c:pt>
                <c:pt idx="1">
                  <c:v>Jun</c:v>
                </c:pt>
                <c:pt idx="2">
                  <c:v>Sep</c:v>
                </c:pt>
              </c:strCache>
            </c:strRef>
          </c:cat>
          <c:val>
            <c:numRef>
              <c:f>'PIVOT TABLES'!$F$16:$F$19</c:f>
              <c:numCache>
                <c:formatCode>General</c:formatCode>
                <c:ptCount val="3"/>
                <c:pt idx="0">
                  <c:v>11574</c:v>
                </c:pt>
                <c:pt idx="1">
                  <c:v>200</c:v>
                </c:pt>
                <c:pt idx="2">
                  <c:v>150</c:v>
                </c:pt>
              </c:numCache>
            </c:numRef>
          </c:val>
          <c:smooth val="0"/>
          <c:extLst>
            <c:ext xmlns:c16="http://schemas.microsoft.com/office/drawing/2014/chart" uri="{C3380CC4-5D6E-409C-BE32-E72D297353CC}">
              <c16:uniqueId val="{00000000-2901-4235-BD3C-CA97B92219CD}"/>
            </c:ext>
          </c:extLst>
        </c:ser>
        <c:dLbls>
          <c:dLblPos val="t"/>
          <c:showLegendKey val="0"/>
          <c:showVal val="1"/>
          <c:showCatName val="0"/>
          <c:showSerName val="0"/>
          <c:showPercent val="0"/>
          <c:showBubbleSize val="0"/>
        </c:dLbls>
        <c:marker val="1"/>
        <c:smooth val="0"/>
        <c:axId val="395114527"/>
        <c:axId val="395115967"/>
      </c:lineChart>
      <c:catAx>
        <c:axId val="39511452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5115967"/>
        <c:crosses val="autoZero"/>
        <c:auto val="1"/>
        <c:lblAlgn val="ctr"/>
        <c:lblOffset val="100"/>
        <c:noMultiLvlLbl val="0"/>
      </c:catAx>
      <c:valAx>
        <c:axId val="3951159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511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
              <c:pt idx="0">
                <c:v>Total</c:v>
              </c:pt>
            </c:strLit>
          </c:cat>
          <c:val>
            <c:numLit>
              <c:formatCode>General</c:formatCode>
              <c:ptCount val="1"/>
              <c:pt idx="0">
                <c:v>11924</c:v>
              </c:pt>
            </c:numLit>
          </c:val>
          <c:extLst>
            <c:ext xmlns:c16="http://schemas.microsoft.com/office/drawing/2014/chart" uri="{C3380CC4-5D6E-409C-BE32-E72D297353CC}">
              <c16:uniqueId val="{00000000-5DA7-4332-B8C2-E3F9721FEF15}"/>
            </c:ext>
          </c:extLst>
        </c:ser>
        <c:dLbls>
          <c:dLblPos val="outEnd"/>
          <c:showLegendKey val="0"/>
          <c:showVal val="1"/>
          <c:showCatName val="0"/>
          <c:showSerName val="0"/>
          <c:showPercent val="0"/>
          <c:showBubbleSize val="0"/>
        </c:dLbls>
        <c:gapWidth val="100"/>
        <c:overlap val="-24"/>
        <c:axId val="1713473296"/>
        <c:axId val="1713473776"/>
      </c:barChart>
      <c:catAx>
        <c:axId val="17134732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3473776"/>
        <c:crosses val="autoZero"/>
        <c:auto val="1"/>
        <c:lblAlgn val="ctr"/>
        <c:lblOffset val="100"/>
        <c:noMultiLvlLbl val="0"/>
      </c:catAx>
      <c:valAx>
        <c:axId val="17134737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34732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480060</xdr:colOff>
      <xdr:row>2</xdr:row>
      <xdr:rowOff>175260</xdr:rowOff>
    </xdr:from>
    <xdr:to>
      <xdr:col>12</xdr:col>
      <xdr:colOff>510540</xdr:colOff>
      <xdr:row>15</xdr:row>
      <xdr:rowOff>60960</xdr:rowOff>
    </xdr:to>
    <xdr:graphicFrame macro="">
      <xdr:nvGraphicFramePr>
        <xdr:cNvPr id="2" name="Chart 1">
          <a:extLst>
            <a:ext uri="{FF2B5EF4-FFF2-40B4-BE49-F238E27FC236}">
              <a16:creationId xmlns:a16="http://schemas.microsoft.com/office/drawing/2014/main" id="{43FBE2C2-4B7F-4D62-A510-41C0485A3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38100</xdr:colOff>
      <xdr:row>3</xdr:row>
      <xdr:rowOff>0</xdr:rowOff>
    </xdr:from>
    <xdr:to>
      <xdr:col>19</xdr:col>
      <xdr:colOff>365760</xdr:colOff>
      <xdr:row>15</xdr:row>
      <xdr:rowOff>38100</xdr:rowOff>
    </xdr:to>
    <xdr:graphicFrame macro="">
      <xdr:nvGraphicFramePr>
        <xdr:cNvPr id="3" name="Chart 2">
          <a:extLst>
            <a:ext uri="{FF2B5EF4-FFF2-40B4-BE49-F238E27FC236}">
              <a16:creationId xmlns:a16="http://schemas.microsoft.com/office/drawing/2014/main" id="{0475742A-32E9-4961-9C84-B5D2F96F4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121920</xdr:colOff>
      <xdr:row>16</xdr:row>
      <xdr:rowOff>76200</xdr:rowOff>
    </xdr:from>
    <xdr:to>
      <xdr:col>5</xdr:col>
      <xdr:colOff>220980</xdr:colOff>
      <xdr:row>26</xdr:row>
      <xdr:rowOff>83820</xdr:rowOff>
    </xdr:to>
    <xdr:graphicFrame macro="">
      <xdr:nvGraphicFramePr>
        <xdr:cNvPr id="4" name="Chart 3">
          <a:extLst>
            <a:ext uri="{FF2B5EF4-FFF2-40B4-BE49-F238E27FC236}">
              <a16:creationId xmlns:a16="http://schemas.microsoft.com/office/drawing/2014/main" id="{FB66DE98-A1C9-4560-BC96-9131D2B01C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480060</xdr:colOff>
      <xdr:row>16</xdr:row>
      <xdr:rowOff>160020</xdr:rowOff>
    </xdr:from>
    <xdr:to>
      <xdr:col>11</xdr:col>
      <xdr:colOff>541020</xdr:colOff>
      <xdr:row>26</xdr:row>
      <xdr:rowOff>152400</xdr:rowOff>
    </xdr:to>
    <xdr:graphicFrame macro="">
      <xdr:nvGraphicFramePr>
        <xdr:cNvPr id="5" name="Chart 4">
          <a:extLst>
            <a:ext uri="{FF2B5EF4-FFF2-40B4-BE49-F238E27FC236}">
              <a16:creationId xmlns:a16="http://schemas.microsoft.com/office/drawing/2014/main" id="{ADA114C3-0521-41C2-B197-436FCE4CD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60960</xdr:colOff>
      <xdr:row>16</xdr:row>
      <xdr:rowOff>167640</xdr:rowOff>
    </xdr:from>
    <xdr:to>
      <xdr:col>18</xdr:col>
      <xdr:colOff>441960</xdr:colOff>
      <xdr:row>26</xdr:row>
      <xdr:rowOff>160020</xdr:rowOff>
    </xdr:to>
    <xdr:graphicFrame macro="">
      <xdr:nvGraphicFramePr>
        <xdr:cNvPr id="6" name="Chart 5">
          <a:extLst>
            <a:ext uri="{FF2B5EF4-FFF2-40B4-BE49-F238E27FC236}">
              <a16:creationId xmlns:a16="http://schemas.microsoft.com/office/drawing/2014/main" id="{80D9C3D9-223D-4683-9C34-1FAD0CBA31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53340</xdr:colOff>
      <xdr:row>0</xdr:row>
      <xdr:rowOff>99061</xdr:rowOff>
    </xdr:from>
    <xdr:to>
      <xdr:col>3</xdr:col>
      <xdr:colOff>53340</xdr:colOff>
      <xdr:row>9</xdr:row>
      <xdr:rowOff>83821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B17570B6-3402-4788-B770-7BD6B9A785E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3340" y="99061"/>
              <a:ext cx="1828800" cy="1630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114300</xdr:colOff>
      <xdr:row>0</xdr:row>
      <xdr:rowOff>83820</xdr:rowOff>
    </xdr:from>
    <xdr:to>
      <xdr:col>6</xdr:col>
      <xdr:colOff>114300</xdr:colOff>
      <xdr:row>14</xdr:row>
      <xdr:rowOff>144780</xdr:rowOff>
    </xdr:to>
    <mc:AlternateContent xmlns:mc="http://schemas.openxmlformats.org/markup-compatibility/2006">
      <mc:Choice xmlns:a14="http://schemas.microsoft.com/office/drawing/2010/main" Requires="a14">
        <xdr:graphicFrame macro="">
          <xdr:nvGraphicFramePr>
            <xdr:cNvPr id="8" name="Product">
              <a:extLst>
                <a:ext uri="{FF2B5EF4-FFF2-40B4-BE49-F238E27FC236}">
                  <a16:creationId xmlns:a16="http://schemas.microsoft.com/office/drawing/2014/main" id="{B95EFCEA-E636-46D5-93E5-21B4DCCC127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943100" y="83820"/>
              <a:ext cx="1828800" cy="2621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45720</xdr:colOff>
      <xdr:row>16</xdr:row>
      <xdr:rowOff>160020</xdr:rowOff>
    </xdr:from>
    <xdr:to>
      <xdr:col>22</xdr:col>
      <xdr:colOff>464820</xdr:colOff>
      <xdr:row>27</xdr:row>
      <xdr:rowOff>7620</xdr:rowOff>
    </xdr:to>
    <xdr:graphicFrame macro="">
      <xdr:nvGraphicFramePr>
        <xdr:cNvPr id="9" name="Chart 8">
          <a:extLst>
            <a:ext uri="{FF2B5EF4-FFF2-40B4-BE49-F238E27FC236}">
              <a16:creationId xmlns:a16="http://schemas.microsoft.com/office/drawing/2014/main" id="{D3E58711-A68F-4905-B37A-29280EA2DD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8</xdr:col>
      <xdr:colOff>53340</xdr:colOff>
      <xdr:row>0</xdr:row>
      <xdr:rowOff>68580</xdr:rowOff>
    </xdr:from>
    <xdr:ext cx="4511040" cy="335280"/>
    <xdr:sp macro="" textlink="">
      <xdr:nvSpPr>
        <xdr:cNvPr id="10" name="TextBox 9">
          <a:extLst>
            <a:ext uri="{FF2B5EF4-FFF2-40B4-BE49-F238E27FC236}">
              <a16:creationId xmlns:a16="http://schemas.microsoft.com/office/drawing/2014/main" id="{150AD386-780C-E366-BFB4-AFA60C959F2F}"/>
            </a:ext>
          </a:extLst>
        </xdr:cNvPr>
        <xdr:cNvSpPr txBox="1"/>
      </xdr:nvSpPr>
      <xdr:spPr>
        <a:xfrm>
          <a:off x="4930140" y="68580"/>
          <a:ext cx="4511040" cy="3352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400" b="1" i="1" u="sng">
              <a:solidFill>
                <a:srgbClr val="00B0F0"/>
              </a:solidFill>
            </a:rPr>
            <a:t>SALES DASHBOARD</a:t>
          </a:r>
        </a:p>
        <a:p>
          <a:endParaRPr lang="en-IN" sz="1100" u="sng"/>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eesanth k" refreshedDate="45996.875730092594" createdVersion="8" refreshedVersion="8" minRefreshableVersion="3" recordCount="50" xr:uid="{AD4A6657-917F-4CA6-9371-BE8D74689024}">
  <cacheSource type="worksheet">
    <worksheetSource ref="A1:I51" sheet="DATASET AFTER"/>
  </cacheSource>
  <cacheFields count="11">
    <cacheField name="Date" numFmtId="14">
      <sharedItems containsSemiMixedTypes="0" containsNonDate="0" containsDate="1" containsString="0" minDate="2025-01-01T00:00:00" maxDate="2025-09-02T00:00:00" count="27">
        <d v="2025-01-01T00:00:00"/>
        <d v="2025-01-02T00:00:00"/>
        <d v="2025-01-03T00:00:00"/>
        <d v="2025-01-04T00:00:00"/>
        <d v="2025-01-05T00:00:00"/>
        <d v="2025-01-06T00:00:00"/>
        <d v="2025-06-01T00:00:00"/>
        <d v="2025-01-07T00:00:00"/>
        <d v="2025-01-08T00:00:00"/>
        <d v="2025-09-01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sharedItems>
      <fieldGroup par="10"/>
    </cacheField>
    <cacheField name="Product" numFmtId="0">
      <sharedItems count="8">
        <s v="Biscuit"/>
        <s v="Chips"/>
        <s v="Coke"/>
        <s v="Milk"/>
        <s v="Bread"/>
        <s v="Butter"/>
        <s v="Cake"/>
        <s v="Biscut"/>
      </sharedItems>
    </cacheField>
    <cacheField name="Category" numFmtId="0">
      <sharedItems count="5">
        <s v="Snacks"/>
        <s v="Beverage"/>
        <s v="Dairy"/>
        <s v="Bakery"/>
        <s v="Beverages"/>
      </sharedItems>
    </cacheField>
    <cacheField name="Region" numFmtId="0">
      <sharedItems count="4">
        <s v="North"/>
        <s v="South"/>
        <s v="East"/>
        <s v="West"/>
      </sharedItems>
    </cacheField>
    <cacheField name="Quantity" numFmtId="0">
      <sharedItems containsSemiMixedTypes="0" containsString="0" containsNumber="1" containsInteger="1" minValue="2" maxValue="20" count="15">
        <n v="10"/>
        <n v="5"/>
        <n v="8"/>
        <n v="12"/>
        <n v="6"/>
        <n v="4"/>
        <n v="3"/>
        <n v="15"/>
        <n v="9"/>
        <n v="7"/>
        <n v="2"/>
        <n v="20"/>
        <n v="14"/>
        <n v="11"/>
        <n v="13"/>
      </sharedItems>
    </cacheField>
    <cacheField name="Price" numFmtId="0">
      <sharedItems containsSemiMixedTypes="0" containsString="0" containsNumber="1" containsInteger="1" minValue="15" maxValue="120" count="7">
        <n v="20"/>
        <n v="15"/>
        <n v="30"/>
        <n v="25"/>
        <n v="18"/>
        <n v="40"/>
        <n v="120"/>
      </sharedItems>
    </cacheField>
    <cacheField name="Salesperson" numFmtId="0">
      <sharedItems count="7">
        <s v="Ashwin"/>
        <s v="Rahul"/>
        <s v="Meera"/>
        <s v="Sneha"/>
        <s v="Arjun"/>
        <s v="Neha"/>
        <s v="Unknown"/>
      </sharedItems>
    </cacheField>
    <cacheField name="Rating" numFmtId="0">
      <sharedItems containsSemiMixedTypes="0" containsString="0" containsNumber="1" containsInteger="1" minValue="0" maxValue="5" count="5">
        <n v="4"/>
        <n v="5"/>
        <n v="3"/>
        <n v="0"/>
        <n v="2"/>
      </sharedItems>
    </cacheField>
    <cacheField name="Revenue" numFmtId="0">
      <sharedItems containsSemiMixedTypes="0" containsString="0" containsNumber="1" containsInteger="1" minValue="72" maxValue="600" count="26">
        <n v="200"/>
        <n v="75"/>
        <n v="240"/>
        <n v="300"/>
        <n v="108"/>
        <n v="160"/>
        <n v="360"/>
        <n v="150"/>
        <n v="450"/>
        <n v="225"/>
        <n v="126"/>
        <n v="400"/>
        <n v="180"/>
        <n v="280"/>
        <n v="144"/>
        <n v="165"/>
        <n v="125"/>
        <n v="480"/>
        <n v="105"/>
        <n v="600"/>
        <n v="260"/>
        <n v="72"/>
        <n v="330"/>
        <n v="175"/>
        <n v="135"/>
        <n v="420"/>
      </sharedItems>
    </cacheField>
    <cacheField name="Days (Date)" numFmtId="0" databaseField="0">
      <fieldGroup base="0">
        <rangePr groupBy="days" startDate="2025-01-01T00:00:00" endDate="2025-09-02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9-2025"/>
        </groupItems>
      </fieldGroup>
    </cacheField>
    <cacheField name="Months (Date)" numFmtId="0" databaseField="0">
      <fieldGroup base="0">
        <rangePr groupBy="months" startDate="2025-01-01T00:00:00" endDate="2025-09-02T00:00:00"/>
        <groupItems count="14">
          <s v="&lt;01-01-2025"/>
          <s v="Jan"/>
          <s v="Feb"/>
          <s v="Mar"/>
          <s v="Apr"/>
          <s v="May"/>
          <s v="Jun"/>
          <s v="Jul"/>
          <s v="Aug"/>
          <s v="Sep"/>
          <s v="Oct"/>
          <s v="Nov"/>
          <s v="Dec"/>
          <s v="&gt;02-09-2025"/>
        </groupItems>
      </fieldGroup>
    </cacheField>
  </cacheFields>
  <extLst>
    <ext xmlns:x14="http://schemas.microsoft.com/office/spreadsheetml/2009/9/main" uri="{725AE2AE-9491-48be-B2B4-4EB974FC3084}">
      <x14:pivotCacheDefinition pivotCacheId="11166211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x v="0"/>
    <x v="0"/>
    <x v="0"/>
    <x v="0"/>
    <x v="0"/>
    <x v="0"/>
  </r>
  <r>
    <x v="0"/>
    <x v="1"/>
    <x v="0"/>
    <x v="1"/>
    <x v="1"/>
    <x v="1"/>
    <x v="1"/>
    <x v="1"/>
    <x v="1"/>
  </r>
  <r>
    <x v="1"/>
    <x v="2"/>
    <x v="1"/>
    <x v="2"/>
    <x v="2"/>
    <x v="2"/>
    <x v="2"/>
    <x v="2"/>
    <x v="2"/>
  </r>
  <r>
    <x v="1"/>
    <x v="3"/>
    <x v="2"/>
    <x v="3"/>
    <x v="3"/>
    <x v="3"/>
    <x v="3"/>
    <x v="3"/>
    <x v="3"/>
  </r>
  <r>
    <x v="2"/>
    <x v="4"/>
    <x v="3"/>
    <x v="0"/>
    <x v="4"/>
    <x v="4"/>
    <x v="4"/>
    <x v="0"/>
    <x v="4"/>
  </r>
  <r>
    <x v="2"/>
    <x v="5"/>
    <x v="2"/>
    <x v="1"/>
    <x v="5"/>
    <x v="5"/>
    <x v="5"/>
    <x v="4"/>
    <x v="5"/>
  </r>
  <r>
    <x v="3"/>
    <x v="6"/>
    <x v="3"/>
    <x v="2"/>
    <x v="6"/>
    <x v="6"/>
    <x v="6"/>
    <x v="1"/>
    <x v="6"/>
  </r>
  <r>
    <x v="3"/>
    <x v="1"/>
    <x v="0"/>
    <x v="3"/>
    <x v="0"/>
    <x v="1"/>
    <x v="1"/>
    <x v="0"/>
    <x v="7"/>
  </r>
  <r>
    <x v="4"/>
    <x v="2"/>
    <x v="4"/>
    <x v="0"/>
    <x v="7"/>
    <x v="2"/>
    <x v="0"/>
    <x v="2"/>
    <x v="8"/>
  </r>
  <r>
    <x v="4"/>
    <x v="3"/>
    <x v="2"/>
    <x v="1"/>
    <x v="8"/>
    <x v="3"/>
    <x v="3"/>
    <x v="0"/>
    <x v="9"/>
  </r>
  <r>
    <x v="5"/>
    <x v="4"/>
    <x v="3"/>
    <x v="2"/>
    <x v="9"/>
    <x v="4"/>
    <x v="4"/>
    <x v="1"/>
    <x v="10"/>
  </r>
  <r>
    <x v="6"/>
    <x v="5"/>
    <x v="2"/>
    <x v="0"/>
    <x v="1"/>
    <x v="5"/>
    <x v="5"/>
    <x v="0"/>
    <x v="0"/>
  </r>
  <r>
    <x v="7"/>
    <x v="6"/>
    <x v="3"/>
    <x v="1"/>
    <x v="10"/>
    <x v="6"/>
    <x v="2"/>
    <x v="2"/>
    <x v="2"/>
  </r>
  <r>
    <x v="7"/>
    <x v="7"/>
    <x v="0"/>
    <x v="2"/>
    <x v="11"/>
    <x v="0"/>
    <x v="1"/>
    <x v="1"/>
    <x v="11"/>
  </r>
  <r>
    <x v="8"/>
    <x v="1"/>
    <x v="0"/>
    <x v="0"/>
    <x v="3"/>
    <x v="1"/>
    <x v="0"/>
    <x v="0"/>
    <x v="12"/>
  </r>
  <r>
    <x v="8"/>
    <x v="2"/>
    <x v="1"/>
    <x v="3"/>
    <x v="0"/>
    <x v="2"/>
    <x v="2"/>
    <x v="2"/>
    <x v="3"/>
  </r>
  <r>
    <x v="9"/>
    <x v="3"/>
    <x v="2"/>
    <x v="2"/>
    <x v="4"/>
    <x v="3"/>
    <x v="3"/>
    <x v="0"/>
    <x v="7"/>
  </r>
  <r>
    <x v="10"/>
    <x v="0"/>
    <x v="0"/>
    <x v="1"/>
    <x v="12"/>
    <x v="0"/>
    <x v="5"/>
    <x v="1"/>
    <x v="13"/>
  </r>
  <r>
    <x v="11"/>
    <x v="4"/>
    <x v="3"/>
    <x v="3"/>
    <x v="2"/>
    <x v="4"/>
    <x v="4"/>
    <x v="3"/>
    <x v="14"/>
  </r>
  <r>
    <x v="11"/>
    <x v="6"/>
    <x v="3"/>
    <x v="0"/>
    <x v="6"/>
    <x v="6"/>
    <x v="1"/>
    <x v="1"/>
    <x v="6"/>
  </r>
  <r>
    <x v="12"/>
    <x v="2"/>
    <x v="1"/>
    <x v="1"/>
    <x v="0"/>
    <x v="2"/>
    <x v="0"/>
    <x v="0"/>
    <x v="3"/>
  </r>
  <r>
    <x v="12"/>
    <x v="1"/>
    <x v="0"/>
    <x v="2"/>
    <x v="13"/>
    <x v="1"/>
    <x v="3"/>
    <x v="2"/>
    <x v="15"/>
  </r>
  <r>
    <x v="13"/>
    <x v="0"/>
    <x v="0"/>
    <x v="3"/>
    <x v="8"/>
    <x v="0"/>
    <x v="5"/>
    <x v="0"/>
    <x v="12"/>
  </r>
  <r>
    <x v="13"/>
    <x v="3"/>
    <x v="2"/>
    <x v="0"/>
    <x v="1"/>
    <x v="3"/>
    <x v="2"/>
    <x v="1"/>
    <x v="16"/>
  </r>
  <r>
    <x v="14"/>
    <x v="6"/>
    <x v="3"/>
    <x v="1"/>
    <x v="5"/>
    <x v="6"/>
    <x v="4"/>
    <x v="1"/>
    <x v="17"/>
  </r>
  <r>
    <x v="14"/>
    <x v="1"/>
    <x v="0"/>
    <x v="3"/>
    <x v="9"/>
    <x v="1"/>
    <x v="1"/>
    <x v="2"/>
    <x v="18"/>
  </r>
  <r>
    <x v="15"/>
    <x v="2"/>
    <x v="1"/>
    <x v="2"/>
    <x v="4"/>
    <x v="2"/>
    <x v="3"/>
    <x v="0"/>
    <x v="12"/>
  </r>
  <r>
    <x v="15"/>
    <x v="4"/>
    <x v="3"/>
    <x v="0"/>
    <x v="0"/>
    <x v="4"/>
    <x v="5"/>
    <x v="1"/>
    <x v="12"/>
  </r>
  <r>
    <x v="16"/>
    <x v="3"/>
    <x v="2"/>
    <x v="1"/>
    <x v="2"/>
    <x v="3"/>
    <x v="6"/>
    <x v="0"/>
    <x v="0"/>
  </r>
  <r>
    <x v="16"/>
    <x v="6"/>
    <x v="3"/>
    <x v="2"/>
    <x v="1"/>
    <x v="6"/>
    <x v="0"/>
    <x v="1"/>
    <x v="19"/>
  </r>
  <r>
    <x v="17"/>
    <x v="0"/>
    <x v="0"/>
    <x v="0"/>
    <x v="14"/>
    <x v="0"/>
    <x v="1"/>
    <x v="1"/>
    <x v="20"/>
  </r>
  <r>
    <x v="17"/>
    <x v="5"/>
    <x v="2"/>
    <x v="3"/>
    <x v="4"/>
    <x v="5"/>
    <x v="5"/>
    <x v="0"/>
    <x v="2"/>
  </r>
  <r>
    <x v="18"/>
    <x v="4"/>
    <x v="3"/>
    <x v="1"/>
    <x v="5"/>
    <x v="4"/>
    <x v="4"/>
    <x v="2"/>
    <x v="21"/>
  </r>
  <r>
    <x v="18"/>
    <x v="1"/>
    <x v="0"/>
    <x v="2"/>
    <x v="7"/>
    <x v="1"/>
    <x v="3"/>
    <x v="1"/>
    <x v="9"/>
  </r>
  <r>
    <x v="19"/>
    <x v="2"/>
    <x v="1"/>
    <x v="0"/>
    <x v="13"/>
    <x v="2"/>
    <x v="2"/>
    <x v="0"/>
    <x v="22"/>
  </r>
  <r>
    <x v="19"/>
    <x v="3"/>
    <x v="2"/>
    <x v="3"/>
    <x v="9"/>
    <x v="3"/>
    <x v="0"/>
    <x v="2"/>
    <x v="23"/>
  </r>
  <r>
    <x v="20"/>
    <x v="6"/>
    <x v="3"/>
    <x v="1"/>
    <x v="6"/>
    <x v="6"/>
    <x v="5"/>
    <x v="1"/>
    <x v="6"/>
  </r>
  <r>
    <x v="20"/>
    <x v="0"/>
    <x v="0"/>
    <x v="2"/>
    <x v="0"/>
    <x v="0"/>
    <x v="1"/>
    <x v="0"/>
    <x v="0"/>
  </r>
  <r>
    <x v="21"/>
    <x v="2"/>
    <x v="1"/>
    <x v="3"/>
    <x v="3"/>
    <x v="2"/>
    <x v="4"/>
    <x v="1"/>
    <x v="6"/>
  </r>
  <r>
    <x v="21"/>
    <x v="5"/>
    <x v="2"/>
    <x v="0"/>
    <x v="1"/>
    <x v="5"/>
    <x v="3"/>
    <x v="4"/>
    <x v="0"/>
  </r>
  <r>
    <x v="22"/>
    <x v="4"/>
    <x v="3"/>
    <x v="1"/>
    <x v="4"/>
    <x v="4"/>
    <x v="2"/>
    <x v="0"/>
    <x v="4"/>
  </r>
  <r>
    <x v="22"/>
    <x v="0"/>
    <x v="0"/>
    <x v="3"/>
    <x v="7"/>
    <x v="0"/>
    <x v="0"/>
    <x v="1"/>
    <x v="3"/>
  </r>
  <r>
    <x v="23"/>
    <x v="1"/>
    <x v="0"/>
    <x v="0"/>
    <x v="8"/>
    <x v="1"/>
    <x v="1"/>
    <x v="0"/>
    <x v="24"/>
  </r>
  <r>
    <x v="23"/>
    <x v="6"/>
    <x v="3"/>
    <x v="2"/>
    <x v="5"/>
    <x v="6"/>
    <x v="4"/>
    <x v="1"/>
    <x v="17"/>
  </r>
  <r>
    <x v="24"/>
    <x v="2"/>
    <x v="1"/>
    <x v="1"/>
    <x v="12"/>
    <x v="2"/>
    <x v="5"/>
    <x v="2"/>
    <x v="25"/>
  </r>
  <r>
    <x v="24"/>
    <x v="3"/>
    <x v="2"/>
    <x v="2"/>
    <x v="2"/>
    <x v="3"/>
    <x v="3"/>
    <x v="0"/>
    <x v="0"/>
  </r>
  <r>
    <x v="25"/>
    <x v="4"/>
    <x v="3"/>
    <x v="0"/>
    <x v="9"/>
    <x v="4"/>
    <x v="2"/>
    <x v="1"/>
    <x v="10"/>
  </r>
  <r>
    <x v="25"/>
    <x v="0"/>
    <x v="0"/>
    <x v="1"/>
    <x v="8"/>
    <x v="0"/>
    <x v="0"/>
    <x v="0"/>
    <x v="12"/>
  </r>
  <r>
    <x v="26"/>
    <x v="1"/>
    <x v="0"/>
    <x v="2"/>
    <x v="0"/>
    <x v="1"/>
    <x v="1"/>
    <x v="0"/>
    <x v="7"/>
  </r>
  <r>
    <x v="26"/>
    <x v="6"/>
    <x v="3"/>
    <x v="3"/>
    <x v="10"/>
    <x v="6"/>
    <x v="3"/>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C5A6CE-1532-431C-A5F4-C4C09C81F473}"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1">
    <pivotField numFmtId="14" showAll="0">
      <items count="28">
        <item x="0"/>
        <item x="1"/>
        <item x="2"/>
        <item x="3"/>
        <item x="4"/>
        <item x="5"/>
        <item x="7"/>
        <item x="8"/>
        <item x="10"/>
        <item x="11"/>
        <item x="12"/>
        <item x="13"/>
        <item x="14"/>
        <item x="15"/>
        <item x="16"/>
        <item x="17"/>
        <item x="18"/>
        <item x="19"/>
        <item x="20"/>
        <item x="21"/>
        <item x="22"/>
        <item x="23"/>
        <item x="24"/>
        <item x="25"/>
        <item x="26"/>
        <item x="6"/>
        <item x="9"/>
        <item t="default"/>
      </items>
    </pivotField>
    <pivotField showAll="0">
      <items count="9">
        <item x="0"/>
        <item x="7"/>
        <item x="4"/>
        <item x="5"/>
        <item x="6"/>
        <item x="1"/>
        <item x="2"/>
        <item x="3"/>
        <item t="default"/>
      </items>
    </pivotField>
    <pivotField axis="axisRow" showAll="0" sortType="descending">
      <items count="6">
        <item x="3"/>
        <item x="1"/>
        <item x="4"/>
        <item x="2"/>
        <item x="0"/>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4"/>
    </i>
    <i>
      <x v="3"/>
    </i>
    <i>
      <x v="1"/>
    </i>
    <i>
      <x v="2"/>
    </i>
    <i t="grand">
      <x/>
    </i>
  </rowItems>
  <colItems count="1">
    <i/>
  </colItems>
  <dataFields count="1">
    <dataField name="Sum of Revenue" fld="8" baseField="0" baseItem="0"/>
  </dataFields>
  <chartFormats count="1">
    <chartFormat chart="7"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E5DF58-18F4-49FC-9574-F3B94EFC0BBA}"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5:F19" firstHeaderRow="1" firstDataRow="1" firstDataCol="1"/>
  <pivotFields count="11">
    <pivotField numFmtId="14" showAll="0">
      <items count="28">
        <item x="0"/>
        <item x="1"/>
        <item x="2"/>
        <item x="3"/>
        <item x="4"/>
        <item x="5"/>
        <item x="7"/>
        <item x="8"/>
        <item x="10"/>
        <item x="11"/>
        <item x="12"/>
        <item x="13"/>
        <item x="14"/>
        <item x="15"/>
        <item x="16"/>
        <item x="17"/>
        <item x="18"/>
        <item x="19"/>
        <item x="20"/>
        <item x="21"/>
        <item x="22"/>
        <item x="23"/>
        <item x="24"/>
        <item x="25"/>
        <item x="26"/>
        <item x="6"/>
        <item x="9"/>
        <item t="default"/>
      </items>
    </pivotField>
    <pivotField showAll="0">
      <items count="9">
        <item x="0"/>
        <item x="7"/>
        <item x="4"/>
        <item x="5"/>
        <item x="6"/>
        <item x="1"/>
        <item x="2"/>
        <item x="3"/>
        <item t="default"/>
      </items>
    </pivotField>
    <pivotField showAll="0"/>
    <pivotField showAll="0">
      <items count="5">
        <item x="2"/>
        <item x="0"/>
        <item x="1"/>
        <item x="3"/>
        <item t="default"/>
      </items>
    </pivotField>
    <pivotField showAll="0"/>
    <pivotField showAll="0"/>
    <pivotField showAll="0"/>
    <pivotField showAll="0"/>
    <pivotField dataField="1"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10"/>
  </rowFields>
  <rowItems count="4">
    <i>
      <x v="1"/>
    </i>
    <i>
      <x v="6"/>
    </i>
    <i>
      <x v="9"/>
    </i>
    <i t="grand">
      <x/>
    </i>
  </rowItems>
  <colItems count="1">
    <i/>
  </colItems>
  <dataFields count="1">
    <dataField name="Sum of Revenue" fld="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A1F9B1-980A-4ACD-98D0-2F5A33619FB0}"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2:C20" firstHeaderRow="0" firstDataRow="1" firstDataCol="1"/>
  <pivotFields count="11">
    <pivotField numFmtId="14" showAll="0">
      <items count="28">
        <item x="0"/>
        <item x="1"/>
        <item x="2"/>
        <item x="3"/>
        <item x="4"/>
        <item x="5"/>
        <item x="7"/>
        <item x="8"/>
        <item x="10"/>
        <item x="11"/>
        <item x="12"/>
        <item x="13"/>
        <item x="14"/>
        <item x="15"/>
        <item x="16"/>
        <item x="17"/>
        <item x="18"/>
        <item x="19"/>
        <item x="20"/>
        <item x="21"/>
        <item x="22"/>
        <item x="23"/>
        <item x="24"/>
        <item x="25"/>
        <item x="26"/>
        <item x="6"/>
        <item x="9"/>
        <item t="default"/>
      </items>
    </pivotField>
    <pivotField showAll="0">
      <items count="9">
        <item x="0"/>
        <item x="7"/>
        <item x="4"/>
        <item x="5"/>
        <item x="6"/>
        <item x="1"/>
        <item x="2"/>
        <item x="3"/>
        <item t="default"/>
      </items>
    </pivotField>
    <pivotField showAll="0"/>
    <pivotField showAll="0">
      <items count="5">
        <item x="2"/>
        <item x="0"/>
        <item x="1"/>
        <item x="3"/>
        <item t="default"/>
      </items>
    </pivotField>
    <pivotField showAll="0"/>
    <pivotField showAll="0"/>
    <pivotField axis="axisRow" showAll="0" sortType="descending">
      <items count="8">
        <item x="4"/>
        <item x="0"/>
        <item x="2"/>
        <item x="5"/>
        <item x="1"/>
        <item x="3"/>
        <item x="6"/>
        <item t="default"/>
      </items>
      <autoSortScope>
        <pivotArea dataOnly="0" outline="0" fieldPosition="0">
          <references count="1">
            <reference field="4294967294" count="1" selected="0">
              <x v="0"/>
            </reference>
          </references>
        </pivotArea>
      </autoSortScope>
    </pivotField>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8">
    <i>
      <x v="1"/>
    </i>
    <i>
      <x v="3"/>
    </i>
    <i>
      <x v="5"/>
    </i>
    <i>
      <x v="4"/>
    </i>
    <i>
      <x/>
    </i>
    <i>
      <x v="2"/>
    </i>
    <i>
      <x v="6"/>
    </i>
    <i t="grand">
      <x/>
    </i>
  </rowItems>
  <colFields count="1">
    <field x="-2"/>
  </colFields>
  <colItems count="2">
    <i>
      <x/>
    </i>
    <i i="1">
      <x v="1"/>
    </i>
  </colItems>
  <dataFields count="2">
    <dataField name="Sum of Revenue" fld="8" baseField="0" baseItem="0"/>
    <dataField name="Average of Rating" fld="7" subtotal="average" baseField="6" baseItem="0"/>
  </dataFields>
  <chartFormats count="2">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ECDC2A-BB72-41E8-AC16-35B9769F8295}"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I12" firstHeaderRow="0" firstDataRow="1" firstDataCol="1"/>
  <pivotFields count="11">
    <pivotField numFmtId="14" showAll="0">
      <items count="28">
        <item x="0"/>
        <item x="1"/>
        <item x="2"/>
        <item x="3"/>
        <item x="4"/>
        <item x="5"/>
        <item x="7"/>
        <item x="8"/>
        <item x="10"/>
        <item x="11"/>
        <item x="12"/>
        <item x="13"/>
        <item x="14"/>
        <item x="15"/>
        <item x="16"/>
        <item x="17"/>
        <item x="18"/>
        <item x="19"/>
        <item x="20"/>
        <item x="21"/>
        <item x="22"/>
        <item x="23"/>
        <item x="24"/>
        <item x="25"/>
        <item x="26"/>
        <item x="6"/>
        <item x="9"/>
        <item t="default"/>
      </items>
    </pivotField>
    <pivotField axis="axisRow" showAll="0" sortType="descending">
      <items count="9">
        <item x="0"/>
        <item x="7"/>
        <item x="4"/>
        <item x="5"/>
        <item x="6"/>
        <item x="1"/>
        <item x="2"/>
        <item x="3"/>
        <item t="default"/>
      </items>
      <autoSortScope>
        <pivotArea dataOnly="0" outline="0" fieldPosition="0">
          <references count="1">
            <reference field="4294967294" count="1" selected="0">
              <x v="1"/>
            </reference>
          </references>
        </pivotArea>
      </autoSortScope>
    </pivotField>
    <pivotField showAll="0"/>
    <pivotField showAll="0">
      <items count="5">
        <item x="2"/>
        <item x="0"/>
        <item x="1"/>
        <item x="3"/>
        <item t="default"/>
      </items>
    </pivotField>
    <pivotField dataField="1"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9">
    <i>
      <x v="6"/>
    </i>
    <i>
      <x/>
    </i>
    <i>
      <x v="5"/>
    </i>
    <i>
      <x v="7"/>
    </i>
    <i>
      <x v="2"/>
    </i>
    <i>
      <x v="4"/>
    </i>
    <i>
      <x v="1"/>
    </i>
    <i>
      <x v="3"/>
    </i>
    <i t="grand">
      <x/>
    </i>
  </rowItems>
  <colFields count="1">
    <field x="-2"/>
  </colFields>
  <colItems count="2">
    <i>
      <x/>
    </i>
    <i i="1">
      <x v="1"/>
    </i>
  </colItems>
  <dataFields count="2">
    <dataField name="Sum of Revenue" fld="8" baseField="0" baseItem="0"/>
    <dataField name="Sum of Quantity" fld="4"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258E16-2582-4C0D-A1EE-3D31B7BD2B5A}"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3:E8" firstHeaderRow="1" firstDataRow="1" firstDataCol="1"/>
  <pivotFields count="11">
    <pivotField numFmtId="14" showAll="0">
      <items count="28">
        <item x="0"/>
        <item x="1"/>
        <item x="2"/>
        <item x="3"/>
        <item x="4"/>
        <item x="5"/>
        <item x="7"/>
        <item x="8"/>
        <item x="10"/>
        <item x="11"/>
        <item x="12"/>
        <item x="13"/>
        <item x="14"/>
        <item x="15"/>
        <item x="16"/>
        <item x="17"/>
        <item x="18"/>
        <item x="19"/>
        <item x="20"/>
        <item x="21"/>
        <item x="22"/>
        <item x="23"/>
        <item x="24"/>
        <item x="25"/>
        <item x="26"/>
        <item x="6"/>
        <item x="9"/>
        <item t="default"/>
      </items>
    </pivotField>
    <pivotField showAll="0">
      <items count="9">
        <item x="0"/>
        <item x="7"/>
        <item x="4"/>
        <item x="5"/>
        <item x="6"/>
        <item x="1"/>
        <item x="2"/>
        <item x="3"/>
        <item t="default"/>
      </items>
    </pivotField>
    <pivotField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3"/>
    </i>
    <i>
      <x v="2"/>
    </i>
    <i t="grand">
      <x/>
    </i>
  </rowItems>
  <colItems count="1">
    <i/>
  </colItems>
  <dataFields count="1">
    <dataField name="Sum of Quantity" fld="4" baseField="0" baseItem="0"/>
  </dataFields>
  <chartFormats count="2">
    <chartFormat chart="2"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D04F8ED-08C4-45E3-BB8E-6307E400FCE6}" sourceName="Region">
  <pivotTables>
    <pivotTable tabId="6" name="PivotTable1"/>
    <pivotTable tabId="6" name="PivotTable2"/>
    <pivotTable tabId="6" name="PivotTable3"/>
    <pivotTable tabId="6" name="PivotTable4"/>
    <pivotTable tabId="6" name="PivotTable6"/>
  </pivotTables>
  <data>
    <tabular pivotCacheId="1116621153">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71248B8-C5F7-4274-A6E2-A56A26C18972}" sourceName="Product">
  <pivotTables>
    <pivotTable tabId="6" name="PivotTable1"/>
    <pivotTable tabId="6" name="PivotTable2"/>
    <pivotTable tabId="6" name="PivotTable3"/>
    <pivotTable tabId="6" name="PivotTable4"/>
    <pivotTable tabId="6" name="PivotTable6"/>
  </pivotTables>
  <data>
    <tabular pivotCacheId="1116621153">
      <items count="8">
        <i x="0" s="1"/>
        <i x="7" s="1"/>
        <i x="4" s="1"/>
        <i x="5" s="1"/>
        <i x="6"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745A331-C72F-4E72-8295-069AF22EB6BE}" cache="Slicer_Region" caption="Region" rowHeight="247650"/>
  <slicer name="Product" xr10:uid="{0072116F-63B7-4E83-896B-B6549B667012}" cache="Slicer_Product" caption="Product"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58AE5-834D-49F2-A874-76E06A331ABA}">
  <dimension ref="A3:I20"/>
  <sheetViews>
    <sheetView workbookViewId="0">
      <selection activeCell="I15" sqref="I15"/>
    </sheetView>
  </sheetViews>
  <sheetFormatPr defaultRowHeight="14.4" x14ac:dyDescent="0.3"/>
  <cols>
    <col min="1" max="1" width="12.44140625" bestFit="1" customWidth="1"/>
    <col min="2" max="2" width="14.109375" bestFit="1" customWidth="1"/>
    <col min="3" max="3" width="15.109375" bestFit="1" customWidth="1"/>
    <col min="4" max="4" width="12.44140625" bestFit="1" customWidth="1"/>
    <col min="5" max="5" width="14.21875" bestFit="1" customWidth="1"/>
    <col min="6" max="6" width="14.109375" bestFit="1" customWidth="1"/>
    <col min="7" max="8" width="12.44140625" bestFit="1" customWidth="1"/>
    <col min="9" max="10" width="14.109375" bestFit="1" customWidth="1"/>
    <col min="11" max="11" width="14.21875" bestFit="1" customWidth="1"/>
  </cols>
  <sheetData>
    <row r="3" spans="1:9" x14ac:dyDescent="0.3">
      <c r="A3" s="4" t="s">
        <v>123</v>
      </c>
      <c r="B3" t="s">
        <v>125</v>
      </c>
      <c r="D3" s="4" t="s">
        <v>123</v>
      </c>
      <c r="E3" t="s">
        <v>126</v>
      </c>
      <c r="G3" s="4" t="s">
        <v>123</v>
      </c>
      <c r="H3" t="s">
        <v>125</v>
      </c>
      <c r="I3" t="s">
        <v>126</v>
      </c>
    </row>
    <row r="4" spans="1:9" x14ac:dyDescent="0.3">
      <c r="A4" s="5" t="s">
        <v>24</v>
      </c>
      <c r="B4" s="6">
        <v>3984</v>
      </c>
      <c r="D4" s="5" t="s">
        <v>17</v>
      </c>
      <c r="E4" s="6">
        <v>113</v>
      </c>
      <c r="G4" s="5" t="s">
        <v>15</v>
      </c>
      <c r="H4" s="6">
        <v>2580</v>
      </c>
      <c r="I4" s="6">
        <v>86</v>
      </c>
    </row>
    <row r="5" spans="1:9" x14ac:dyDescent="0.3">
      <c r="A5" s="5" t="s">
        <v>9</v>
      </c>
      <c r="B5" s="6">
        <v>3185</v>
      </c>
      <c r="D5" s="5" t="s">
        <v>10</v>
      </c>
      <c r="E5" s="6">
        <v>111</v>
      </c>
      <c r="G5" s="5" t="s">
        <v>8</v>
      </c>
      <c r="H5" s="6">
        <v>1600</v>
      </c>
      <c r="I5" s="6">
        <v>80</v>
      </c>
    </row>
    <row r="6" spans="1:9" x14ac:dyDescent="0.3">
      <c r="A6" s="5" t="s">
        <v>20</v>
      </c>
      <c r="B6" s="6">
        <v>2175</v>
      </c>
      <c r="D6" s="5" t="s">
        <v>21</v>
      </c>
      <c r="E6" s="6">
        <v>98</v>
      </c>
      <c r="G6" s="5" t="s">
        <v>12</v>
      </c>
      <c r="H6" s="6">
        <v>1185</v>
      </c>
      <c r="I6" s="6">
        <v>79</v>
      </c>
    </row>
    <row r="7" spans="1:9" x14ac:dyDescent="0.3">
      <c r="A7" s="5" t="s">
        <v>16</v>
      </c>
      <c r="B7" s="6">
        <v>2130</v>
      </c>
      <c r="D7" s="5" t="s">
        <v>13</v>
      </c>
      <c r="E7" s="6">
        <v>92</v>
      </c>
      <c r="G7" s="5" t="s">
        <v>19</v>
      </c>
      <c r="H7" s="6">
        <v>1375</v>
      </c>
      <c r="I7" s="6">
        <v>55</v>
      </c>
    </row>
    <row r="8" spans="1:9" x14ac:dyDescent="0.3">
      <c r="A8" s="5" t="s">
        <v>119</v>
      </c>
      <c r="B8" s="6">
        <v>450</v>
      </c>
      <c r="D8" s="5" t="s">
        <v>124</v>
      </c>
      <c r="E8" s="6">
        <v>414</v>
      </c>
      <c r="G8" s="5" t="s">
        <v>23</v>
      </c>
      <c r="H8" s="6">
        <v>864</v>
      </c>
      <c r="I8" s="6">
        <v>48</v>
      </c>
    </row>
    <row r="9" spans="1:9" x14ac:dyDescent="0.3">
      <c r="A9" s="5" t="s">
        <v>124</v>
      </c>
      <c r="B9" s="6">
        <v>11924</v>
      </c>
      <c r="G9" s="5" t="s">
        <v>28</v>
      </c>
      <c r="H9" s="6">
        <v>3120</v>
      </c>
      <c r="I9" s="6">
        <v>26</v>
      </c>
    </row>
    <row r="10" spans="1:9" x14ac:dyDescent="0.3">
      <c r="G10" s="5" t="s">
        <v>118</v>
      </c>
      <c r="H10" s="6">
        <v>400</v>
      </c>
      <c r="I10" s="6">
        <v>20</v>
      </c>
    </row>
    <row r="11" spans="1:9" x14ac:dyDescent="0.3">
      <c r="G11" s="5" t="s">
        <v>26</v>
      </c>
      <c r="H11" s="6">
        <v>800</v>
      </c>
      <c r="I11" s="6">
        <v>20</v>
      </c>
    </row>
    <row r="12" spans="1:9" x14ac:dyDescent="0.3">
      <c r="A12" s="4" t="s">
        <v>123</v>
      </c>
      <c r="B12" t="s">
        <v>125</v>
      </c>
      <c r="C12" t="s">
        <v>127</v>
      </c>
      <c r="G12" s="5" t="s">
        <v>124</v>
      </c>
      <c r="H12" s="6">
        <v>11924</v>
      </c>
      <c r="I12" s="6">
        <v>414</v>
      </c>
    </row>
    <row r="13" spans="1:9" x14ac:dyDescent="0.3">
      <c r="A13" s="5" t="s">
        <v>11</v>
      </c>
      <c r="B13" s="6">
        <v>2385</v>
      </c>
      <c r="C13" s="6">
        <v>4</v>
      </c>
    </row>
    <row r="14" spans="1:9" x14ac:dyDescent="0.3">
      <c r="A14" s="5" t="s">
        <v>27</v>
      </c>
      <c r="B14" s="6">
        <v>2020</v>
      </c>
      <c r="C14" s="6">
        <v>4</v>
      </c>
    </row>
    <row r="15" spans="1:9" x14ac:dyDescent="0.3">
      <c r="A15" s="5" t="s">
        <v>22</v>
      </c>
      <c r="B15" s="6">
        <v>1885</v>
      </c>
      <c r="C15" s="6">
        <v>3.2222222222222223</v>
      </c>
      <c r="E15" s="4" t="s">
        <v>123</v>
      </c>
      <c r="F15" t="s">
        <v>125</v>
      </c>
    </row>
    <row r="16" spans="1:9" x14ac:dyDescent="0.3">
      <c r="A16" s="5" t="s">
        <v>14</v>
      </c>
      <c r="B16" s="6">
        <v>1835</v>
      </c>
      <c r="C16" s="6">
        <v>4.333333333333333</v>
      </c>
      <c r="E16" s="5" t="s">
        <v>128</v>
      </c>
      <c r="F16" s="6">
        <v>11574</v>
      </c>
    </row>
    <row r="17" spans="1:6" x14ac:dyDescent="0.3">
      <c r="A17" s="5" t="s">
        <v>25</v>
      </c>
      <c r="B17" s="6">
        <v>1770</v>
      </c>
      <c r="C17" s="6">
        <v>3.8571428571428572</v>
      </c>
      <c r="E17" s="5" t="s">
        <v>129</v>
      </c>
      <c r="F17" s="6">
        <v>200</v>
      </c>
    </row>
    <row r="18" spans="1:6" x14ac:dyDescent="0.3">
      <c r="A18" s="5" t="s">
        <v>18</v>
      </c>
      <c r="B18" s="6">
        <v>1469</v>
      </c>
      <c r="C18" s="6">
        <v>3.8571428571428572</v>
      </c>
      <c r="E18" s="5" t="s">
        <v>130</v>
      </c>
      <c r="F18" s="6">
        <v>150</v>
      </c>
    </row>
    <row r="19" spans="1:6" x14ac:dyDescent="0.3">
      <c r="A19" s="5" t="s">
        <v>120</v>
      </c>
      <c r="B19" s="6">
        <v>560</v>
      </c>
      <c r="C19" s="6">
        <v>4.5</v>
      </c>
      <c r="E19" s="5" t="s">
        <v>124</v>
      </c>
      <c r="F19" s="6">
        <v>11924</v>
      </c>
    </row>
    <row r="20" spans="1:6" x14ac:dyDescent="0.3">
      <c r="A20" s="5" t="s">
        <v>124</v>
      </c>
      <c r="B20" s="6">
        <v>11924</v>
      </c>
      <c r="C20" s="6">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1BE7E-29BB-4B29-A65C-C159E19DD883}">
  <dimension ref="F23:Z26"/>
  <sheetViews>
    <sheetView showGridLines="0" workbookViewId="0">
      <selection activeCell="E27" sqref="E27"/>
    </sheetView>
  </sheetViews>
  <sheetFormatPr defaultRowHeight="14.4" x14ac:dyDescent="0.3"/>
  <sheetData>
    <row r="23" spans="6:26" x14ac:dyDescent="0.3">
      <c r="F23" s="7"/>
    </row>
    <row r="26" spans="6:26" x14ac:dyDescent="0.3">
      <c r="Z26" t="s">
        <v>131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59454-3B00-4309-889C-1772C8430CAC}">
  <dimension ref="A1:K51"/>
  <sheetViews>
    <sheetView tabSelected="1" workbookViewId="0">
      <selection activeCell="K26" sqref="K26"/>
    </sheetView>
  </sheetViews>
  <sheetFormatPr defaultRowHeight="14.4" x14ac:dyDescent="0.3"/>
  <cols>
    <col min="1" max="1" width="10.33203125" style="1" bestFit="1" customWidth="1"/>
    <col min="7" max="7" width="11.21875" bestFit="1" customWidth="1"/>
    <col min="9" max="9" width="9" customWidth="1"/>
    <col min="10" max="10" width="9.109375" customWidth="1"/>
  </cols>
  <sheetData>
    <row r="1" spans="1:9" x14ac:dyDescent="0.3">
      <c r="A1" s="3" t="s">
        <v>0</v>
      </c>
      <c r="B1" s="2" t="s">
        <v>1</v>
      </c>
      <c r="C1" s="2" t="s">
        <v>2</v>
      </c>
      <c r="D1" s="2" t="s">
        <v>3</v>
      </c>
      <c r="E1" s="2" t="s">
        <v>4</v>
      </c>
      <c r="F1" s="2" t="s">
        <v>5</v>
      </c>
      <c r="G1" s="2" t="s">
        <v>6</v>
      </c>
      <c r="H1" s="2" t="s">
        <v>7</v>
      </c>
      <c r="I1" s="2" t="s">
        <v>121</v>
      </c>
    </row>
    <row r="2" spans="1:9" x14ac:dyDescent="0.3">
      <c r="A2" s="1">
        <v>45658</v>
      </c>
      <c r="B2" t="s">
        <v>8</v>
      </c>
      <c r="C2" t="s">
        <v>9</v>
      </c>
      <c r="D2" t="s">
        <v>10</v>
      </c>
      <c r="E2">
        <v>10</v>
      </c>
      <c r="F2">
        <v>20</v>
      </c>
      <c r="G2" t="s">
        <v>11</v>
      </c>
      <c r="H2">
        <v>4</v>
      </c>
      <c r="I2">
        <f>E2*F2</f>
        <v>200</v>
      </c>
    </row>
    <row r="3" spans="1:9" x14ac:dyDescent="0.3">
      <c r="A3" s="1">
        <v>45658</v>
      </c>
      <c r="B3" t="s">
        <v>12</v>
      </c>
      <c r="C3" t="s">
        <v>9</v>
      </c>
      <c r="D3" t="s">
        <v>13</v>
      </c>
      <c r="E3">
        <v>5</v>
      </c>
      <c r="F3">
        <v>15</v>
      </c>
      <c r="G3" t="s">
        <v>14</v>
      </c>
      <c r="H3">
        <v>5</v>
      </c>
      <c r="I3">
        <f t="shared" ref="I3:I51" si="0">E3*F3</f>
        <v>75</v>
      </c>
    </row>
    <row r="4" spans="1:9" x14ac:dyDescent="0.3">
      <c r="A4" s="1">
        <v>45659</v>
      </c>
      <c r="B4" t="s">
        <v>15</v>
      </c>
      <c r="C4" t="s">
        <v>16</v>
      </c>
      <c r="D4" t="s">
        <v>17</v>
      </c>
      <c r="E4">
        <v>8</v>
      </c>
      <c r="F4">
        <v>30</v>
      </c>
      <c r="G4" t="s">
        <v>18</v>
      </c>
      <c r="H4">
        <v>3</v>
      </c>
      <c r="I4">
        <f t="shared" si="0"/>
        <v>240</v>
      </c>
    </row>
    <row r="5" spans="1:9" x14ac:dyDescent="0.3">
      <c r="A5" s="1">
        <v>45659</v>
      </c>
      <c r="B5" t="s">
        <v>19</v>
      </c>
      <c r="C5" t="s">
        <v>20</v>
      </c>
      <c r="D5" t="s">
        <v>21</v>
      </c>
      <c r="E5">
        <v>12</v>
      </c>
      <c r="F5">
        <v>25</v>
      </c>
      <c r="G5" t="s">
        <v>22</v>
      </c>
      <c r="H5">
        <v>0</v>
      </c>
      <c r="I5">
        <f t="shared" si="0"/>
        <v>300</v>
      </c>
    </row>
    <row r="6" spans="1:9" x14ac:dyDescent="0.3">
      <c r="A6" s="1">
        <v>45660</v>
      </c>
      <c r="B6" t="s">
        <v>23</v>
      </c>
      <c r="C6" t="s">
        <v>24</v>
      </c>
      <c r="D6" t="s">
        <v>10</v>
      </c>
      <c r="E6">
        <v>6</v>
      </c>
      <c r="F6">
        <v>18</v>
      </c>
      <c r="G6" t="s">
        <v>25</v>
      </c>
      <c r="H6">
        <v>4</v>
      </c>
      <c r="I6">
        <f t="shared" si="0"/>
        <v>108</v>
      </c>
    </row>
    <row r="7" spans="1:9" x14ac:dyDescent="0.3">
      <c r="A7" s="1">
        <v>45660</v>
      </c>
      <c r="B7" t="s">
        <v>26</v>
      </c>
      <c r="C7" t="s">
        <v>20</v>
      </c>
      <c r="D7" t="s">
        <v>13</v>
      </c>
      <c r="E7">
        <v>4</v>
      </c>
      <c r="F7">
        <v>40</v>
      </c>
      <c r="G7" t="s">
        <v>27</v>
      </c>
      <c r="H7">
        <v>2</v>
      </c>
      <c r="I7">
        <f t="shared" si="0"/>
        <v>160</v>
      </c>
    </row>
    <row r="8" spans="1:9" x14ac:dyDescent="0.3">
      <c r="A8" s="1">
        <v>45661</v>
      </c>
      <c r="B8" t="s">
        <v>28</v>
      </c>
      <c r="C8" t="s">
        <v>24</v>
      </c>
      <c r="D8" t="s">
        <v>17</v>
      </c>
      <c r="E8">
        <v>3</v>
      </c>
      <c r="F8">
        <v>120</v>
      </c>
      <c r="G8" t="s">
        <v>120</v>
      </c>
      <c r="H8">
        <v>5</v>
      </c>
      <c r="I8">
        <f t="shared" si="0"/>
        <v>360</v>
      </c>
    </row>
    <row r="9" spans="1:9" x14ac:dyDescent="0.3">
      <c r="A9" s="1">
        <v>45661</v>
      </c>
      <c r="B9" t="s">
        <v>12</v>
      </c>
      <c r="C9" t="s">
        <v>9</v>
      </c>
      <c r="D9" t="s">
        <v>21</v>
      </c>
      <c r="E9">
        <v>10</v>
      </c>
      <c r="F9">
        <v>15</v>
      </c>
      <c r="G9" t="s">
        <v>14</v>
      </c>
      <c r="H9">
        <v>4</v>
      </c>
      <c r="I9">
        <f t="shared" si="0"/>
        <v>150</v>
      </c>
    </row>
    <row r="10" spans="1:9" x14ac:dyDescent="0.3">
      <c r="A10" s="1">
        <v>45662</v>
      </c>
      <c r="B10" t="s">
        <v>15</v>
      </c>
      <c r="C10" t="s">
        <v>119</v>
      </c>
      <c r="D10" t="s">
        <v>10</v>
      </c>
      <c r="E10">
        <v>15</v>
      </c>
      <c r="F10">
        <v>30</v>
      </c>
      <c r="G10" t="s">
        <v>11</v>
      </c>
      <c r="H10">
        <v>3</v>
      </c>
      <c r="I10">
        <f t="shared" si="0"/>
        <v>450</v>
      </c>
    </row>
    <row r="11" spans="1:9" x14ac:dyDescent="0.3">
      <c r="A11" s="1">
        <v>45662</v>
      </c>
      <c r="B11" t="s">
        <v>19</v>
      </c>
      <c r="C11" t="s">
        <v>20</v>
      </c>
      <c r="D11" t="s">
        <v>13</v>
      </c>
      <c r="E11">
        <v>9</v>
      </c>
      <c r="F11">
        <v>25</v>
      </c>
      <c r="G11" t="s">
        <v>22</v>
      </c>
      <c r="H11">
        <v>4</v>
      </c>
      <c r="I11">
        <f t="shared" si="0"/>
        <v>225</v>
      </c>
    </row>
    <row r="12" spans="1:9" x14ac:dyDescent="0.3">
      <c r="A12" s="1">
        <v>45663</v>
      </c>
      <c r="B12" t="s">
        <v>23</v>
      </c>
      <c r="C12" t="s">
        <v>24</v>
      </c>
      <c r="D12" t="s">
        <v>17</v>
      </c>
      <c r="E12">
        <v>7</v>
      </c>
      <c r="F12">
        <v>18</v>
      </c>
      <c r="G12" t="s">
        <v>25</v>
      </c>
      <c r="H12">
        <v>5</v>
      </c>
      <c r="I12">
        <f t="shared" si="0"/>
        <v>126</v>
      </c>
    </row>
    <row r="13" spans="1:9" x14ac:dyDescent="0.3">
      <c r="A13" s="1">
        <v>45809</v>
      </c>
      <c r="B13" t="s">
        <v>26</v>
      </c>
      <c r="C13" t="s">
        <v>20</v>
      </c>
      <c r="D13" t="s">
        <v>10</v>
      </c>
      <c r="E13">
        <v>5</v>
      </c>
      <c r="F13">
        <v>40</v>
      </c>
      <c r="G13" t="s">
        <v>27</v>
      </c>
      <c r="H13">
        <v>4</v>
      </c>
      <c r="I13">
        <f t="shared" si="0"/>
        <v>200</v>
      </c>
    </row>
    <row r="14" spans="1:9" x14ac:dyDescent="0.3">
      <c r="A14" s="1">
        <v>45664</v>
      </c>
      <c r="B14" t="s">
        <v>28</v>
      </c>
      <c r="C14" t="s">
        <v>24</v>
      </c>
      <c r="D14" t="s">
        <v>13</v>
      </c>
      <c r="E14">
        <v>2</v>
      </c>
      <c r="F14">
        <v>120</v>
      </c>
      <c r="G14" t="s">
        <v>18</v>
      </c>
      <c r="H14">
        <v>3</v>
      </c>
      <c r="I14">
        <f t="shared" si="0"/>
        <v>240</v>
      </c>
    </row>
    <row r="15" spans="1:9" x14ac:dyDescent="0.3">
      <c r="A15" s="1">
        <v>45664</v>
      </c>
      <c r="B15" t="s">
        <v>118</v>
      </c>
      <c r="C15" t="s">
        <v>9</v>
      </c>
      <c r="D15" t="s">
        <v>17</v>
      </c>
      <c r="E15">
        <v>20</v>
      </c>
      <c r="F15">
        <v>20</v>
      </c>
      <c r="G15" t="s">
        <v>14</v>
      </c>
      <c r="H15">
        <v>5</v>
      </c>
      <c r="I15">
        <f t="shared" si="0"/>
        <v>400</v>
      </c>
    </row>
    <row r="16" spans="1:9" x14ac:dyDescent="0.3">
      <c r="A16" s="1">
        <v>45665</v>
      </c>
      <c r="B16" t="s">
        <v>12</v>
      </c>
      <c r="C16" t="s">
        <v>9</v>
      </c>
      <c r="D16" t="s">
        <v>10</v>
      </c>
      <c r="E16">
        <v>12</v>
      </c>
      <c r="F16">
        <v>15</v>
      </c>
      <c r="G16" t="s">
        <v>11</v>
      </c>
      <c r="H16">
        <v>4</v>
      </c>
      <c r="I16">
        <f t="shared" si="0"/>
        <v>180</v>
      </c>
    </row>
    <row r="17" spans="1:11" x14ac:dyDescent="0.3">
      <c r="A17" s="1">
        <v>45665</v>
      </c>
      <c r="B17" t="s">
        <v>15</v>
      </c>
      <c r="C17" t="s">
        <v>16</v>
      </c>
      <c r="D17" t="s">
        <v>21</v>
      </c>
      <c r="E17">
        <v>10</v>
      </c>
      <c r="F17">
        <v>30</v>
      </c>
      <c r="G17" t="s">
        <v>18</v>
      </c>
      <c r="H17">
        <v>3</v>
      </c>
      <c r="I17">
        <f t="shared" si="0"/>
        <v>300</v>
      </c>
    </row>
    <row r="18" spans="1:11" x14ac:dyDescent="0.3">
      <c r="A18" s="1">
        <v>45901</v>
      </c>
      <c r="B18" t="s">
        <v>19</v>
      </c>
      <c r="C18" t="s">
        <v>20</v>
      </c>
      <c r="D18" t="s">
        <v>17</v>
      </c>
      <c r="E18">
        <v>6</v>
      </c>
      <c r="F18">
        <v>25</v>
      </c>
      <c r="G18" t="s">
        <v>22</v>
      </c>
      <c r="H18">
        <v>4</v>
      </c>
      <c r="I18">
        <f t="shared" si="0"/>
        <v>150</v>
      </c>
    </row>
    <row r="19" spans="1:11" x14ac:dyDescent="0.3">
      <c r="A19" s="1">
        <v>45666</v>
      </c>
      <c r="B19" t="s">
        <v>8</v>
      </c>
      <c r="C19" t="s">
        <v>9</v>
      </c>
      <c r="D19" t="s">
        <v>13</v>
      </c>
      <c r="E19">
        <v>14</v>
      </c>
      <c r="F19">
        <v>20</v>
      </c>
      <c r="G19" t="s">
        <v>27</v>
      </c>
      <c r="H19">
        <v>5</v>
      </c>
      <c r="I19">
        <f t="shared" si="0"/>
        <v>280</v>
      </c>
    </row>
    <row r="20" spans="1:11" x14ac:dyDescent="0.3">
      <c r="A20" s="1">
        <v>45667</v>
      </c>
      <c r="B20" t="s">
        <v>23</v>
      </c>
      <c r="C20" t="s">
        <v>24</v>
      </c>
      <c r="D20" t="s">
        <v>21</v>
      </c>
      <c r="E20">
        <v>8</v>
      </c>
      <c r="F20">
        <v>18</v>
      </c>
      <c r="G20" t="s">
        <v>25</v>
      </c>
      <c r="H20">
        <v>0</v>
      </c>
      <c r="I20">
        <f t="shared" si="0"/>
        <v>144</v>
      </c>
    </row>
    <row r="21" spans="1:11" x14ac:dyDescent="0.3">
      <c r="A21" s="1">
        <v>45667</v>
      </c>
      <c r="B21" t="s">
        <v>28</v>
      </c>
      <c r="C21" t="s">
        <v>24</v>
      </c>
      <c r="D21" t="s">
        <v>10</v>
      </c>
      <c r="E21">
        <v>3</v>
      </c>
      <c r="F21">
        <v>120</v>
      </c>
      <c r="G21" t="s">
        <v>14</v>
      </c>
      <c r="H21">
        <v>5</v>
      </c>
      <c r="I21">
        <f t="shared" si="0"/>
        <v>360</v>
      </c>
    </row>
    <row r="22" spans="1:11" x14ac:dyDescent="0.3">
      <c r="A22" s="1">
        <v>45668</v>
      </c>
      <c r="B22" t="s">
        <v>15</v>
      </c>
      <c r="C22" t="s">
        <v>16</v>
      </c>
      <c r="D22" t="s">
        <v>13</v>
      </c>
      <c r="E22">
        <v>10</v>
      </c>
      <c r="F22">
        <v>30</v>
      </c>
      <c r="G22" t="s">
        <v>11</v>
      </c>
      <c r="H22">
        <v>4</v>
      </c>
      <c r="I22">
        <f t="shared" si="0"/>
        <v>300</v>
      </c>
    </row>
    <row r="23" spans="1:11" x14ac:dyDescent="0.3">
      <c r="A23" s="1">
        <v>45668</v>
      </c>
      <c r="B23" t="s">
        <v>12</v>
      </c>
      <c r="C23" t="s">
        <v>9</v>
      </c>
      <c r="D23" t="s">
        <v>17</v>
      </c>
      <c r="E23">
        <v>11</v>
      </c>
      <c r="F23">
        <v>15</v>
      </c>
      <c r="G23" t="s">
        <v>22</v>
      </c>
      <c r="H23">
        <v>3</v>
      </c>
      <c r="I23">
        <f t="shared" si="0"/>
        <v>165</v>
      </c>
    </row>
    <row r="24" spans="1:11" x14ac:dyDescent="0.3">
      <c r="A24" s="1">
        <v>45669</v>
      </c>
      <c r="B24" t="s">
        <v>8</v>
      </c>
      <c r="C24" t="s">
        <v>9</v>
      </c>
      <c r="D24" t="s">
        <v>21</v>
      </c>
      <c r="E24">
        <v>9</v>
      </c>
      <c r="F24">
        <v>20</v>
      </c>
      <c r="G24" t="s">
        <v>27</v>
      </c>
      <c r="H24">
        <v>4</v>
      </c>
      <c r="I24">
        <f t="shared" si="0"/>
        <v>180</v>
      </c>
    </row>
    <row r="25" spans="1:11" x14ac:dyDescent="0.3">
      <c r="A25" s="1">
        <v>45669</v>
      </c>
      <c r="B25" t="s">
        <v>19</v>
      </c>
      <c r="C25" t="s">
        <v>20</v>
      </c>
      <c r="D25" t="s">
        <v>10</v>
      </c>
      <c r="E25">
        <v>5</v>
      </c>
      <c r="F25">
        <v>25</v>
      </c>
      <c r="G25" t="s">
        <v>18</v>
      </c>
      <c r="H25">
        <v>5</v>
      </c>
      <c r="I25">
        <f t="shared" si="0"/>
        <v>125</v>
      </c>
    </row>
    <row r="26" spans="1:11" x14ac:dyDescent="0.3">
      <c r="A26" s="1">
        <v>45670</v>
      </c>
      <c r="B26" t="s">
        <v>28</v>
      </c>
      <c r="C26" t="s">
        <v>24</v>
      </c>
      <c r="D26" t="s">
        <v>13</v>
      </c>
      <c r="E26">
        <v>4</v>
      </c>
      <c r="F26">
        <v>120</v>
      </c>
      <c r="G26" t="s">
        <v>25</v>
      </c>
      <c r="H26">
        <v>5</v>
      </c>
      <c r="I26">
        <f t="shared" si="0"/>
        <v>480</v>
      </c>
      <c r="K26" t="s">
        <v>132</v>
      </c>
    </row>
    <row r="27" spans="1:11" x14ac:dyDescent="0.3">
      <c r="A27" s="1">
        <v>45670</v>
      </c>
      <c r="B27" t="s">
        <v>12</v>
      </c>
      <c r="C27" t="s">
        <v>9</v>
      </c>
      <c r="D27" t="s">
        <v>21</v>
      </c>
      <c r="E27">
        <v>7</v>
      </c>
      <c r="F27">
        <v>15</v>
      </c>
      <c r="G27" t="s">
        <v>14</v>
      </c>
      <c r="H27">
        <v>3</v>
      </c>
      <c r="I27">
        <f t="shared" si="0"/>
        <v>105</v>
      </c>
    </row>
    <row r="28" spans="1:11" x14ac:dyDescent="0.3">
      <c r="A28" s="1">
        <v>45671</v>
      </c>
      <c r="B28" t="s">
        <v>15</v>
      </c>
      <c r="C28" t="s">
        <v>16</v>
      </c>
      <c r="D28" t="s">
        <v>17</v>
      </c>
      <c r="E28">
        <v>6</v>
      </c>
      <c r="F28">
        <v>30</v>
      </c>
      <c r="G28" t="s">
        <v>22</v>
      </c>
      <c r="H28">
        <v>4</v>
      </c>
      <c r="I28">
        <f t="shared" si="0"/>
        <v>180</v>
      </c>
    </row>
    <row r="29" spans="1:11" x14ac:dyDescent="0.3">
      <c r="A29" s="1">
        <v>45671</v>
      </c>
      <c r="B29" t="s">
        <v>23</v>
      </c>
      <c r="C29" t="s">
        <v>24</v>
      </c>
      <c r="D29" t="s">
        <v>10</v>
      </c>
      <c r="E29">
        <v>10</v>
      </c>
      <c r="F29">
        <v>18</v>
      </c>
      <c r="G29" t="s">
        <v>27</v>
      </c>
      <c r="H29">
        <v>5</v>
      </c>
      <c r="I29">
        <f t="shared" si="0"/>
        <v>180</v>
      </c>
    </row>
    <row r="30" spans="1:11" x14ac:dyDescent="0.3">
      <c r="A30" s="1">
        <v>45672</v>
      </c>
      <c r="B30" t="s">
        <v>19</v>
      </c>
      <c r="C30" t="s">
        <v>20</v>
      </c>
      <c r="D30" t="s">
        <v>13</v>
      </c>
      <c r="E30">
        <v>8</v>
      </c>
      <c r="F30">
        <v>25</v>
      </c>
      <c r="G30" t="s">
        <v>120</v>
      </c>
      <c r="H30">
        <v>4</v>
      </c>
      <c r="I30">
        <f t="shared" si="0"/>
        <v>200</v>
      </c>
    </row>
    <row r="31" spans="1:11" x14ac:dyDescent="0.3">
      <c r="A31" s="1">
        <v>45672</v>
      </c>
      <c r="B31" t="s">
        <v>28</v>
      </c>
      <c r="C31" t="s">
        <v>24</v>
      </c>
      <c r="D31" t="s">
        <v>17</v>
      </c>
      <c r="E31">
        <v>5</v>
      </c>
      <c r="F31">
        <v>120</v>
      </c>
      <c r="G31" t="s">
        <v>11</v>
      </c>
      <c r="H31">
        <v>5</v>
      </c>
      <c r="I31">
        <f t="shared" si="0"/>
        <v>600</v>
      </c>
    </row>
    <row r="32" spans="1:11" x14ac:dyDescent="0.3">
      <c r="A32" s="1">
        <v>45673</v>
      </c>
      <c r="B32" t="s">
        <v>8</v>
      </c>
      <c r="C32" t="s">
        <v>9</v>
      </c>
      <c r="D32" t="s">
        <v>10</v>
      </c>
      <c r="E32">
        <v>13</v>
      </c>
      <c r="F32">
        <v>20</v>
      </c>
      <c r="G32" t="s">
        <v>14</v>
      </c>
      <c r="H32">
        <v>5</v>
      </c>
      <c r="I32">
        <f t="shared" si="0"/>
        <v>260</v>
      </c>
    </row>
    <row r="33" spans="1:9" x14ac:dyDescent="0.3">
      <c r="A33" s="1">
        <v>45673</v>
      </c>
      <c r="B33" t="s">
        <v>26</v>
      </c>
      <c r="C33" t="s">
        <v>20</v>
      </c>
      <c r="D33" t="s">
        <v>21</v>
      </c>
      <c r="E33">
        <v>6</v>
      </c>
      <c r="F33">
        <v>40</v>
      </c>
      <c r="G33" t="s">
        <v>27</v>
      </c>
      <c r="H33">
        <v>4</v>
      </c>
      <c r="I33">
        <f t="shared" si="0"/>
        <v>240</v>
      </c>
    </row>
    <row r="34" spans="1:9" x14ac:dyDescent="0.3">
      <c r="A34" s="1">
        <v>45674</v>
      </c>
      <c r="B34" t="s">
        <v>23</v>
      </c>
      <c r="C34" t="s">
        <v>24</v>
      </c>
      <c r="D34" t="s">
        <v>13</v>
      </c>
      <c r="E34">
        <v>4</v>
      </c>
      <c r="F34">
        <v>18</v>
      </c>
      <c r="G34" t="s">
        <v>25</v>
      </c>
      <c r="H34">
        <v>3</v>
      </c>
      <c r="I34">
        <f t="shared" si="0"/>
        <v>72</v>
      </c>
    </row>
    <row r="35" spans="1:9" x14ac:dyDescent="0.3">
      <c r="A35" s="1">
        <v>45674</v>
      </c>
      <c r="B35" t="s">
        <v>12</v>
      </c>
      <c r="C35" t="s">
        <v>9</v>
      </c>
      <c r="D35" t="s">
        <v>17</v>
      </c>
      <c r="E35">
        <v>15</v>
      </c>
      <c r="F35">
        <v>15</v>
      </c>
      <c r="G35" t="s">
        <v>22</v>
      </c>
      <c r="H35">
        <v>5</v>
      </c>
      <c r="I35">
        <f t="shared" si="0"/>
        <v>225</v>
      </c>
    </row>
    <row r="36" spans="1:9" x14ac:dyDescent="0.3">
      <c r="A36" s="1">
        <v>45675</v>
      </c>
      <c r="B36" t="s">
        <v>15</v>
      </c>
      <c r="C36" t="s">
        <v>16</v>
      </c>
      <c r="D36" t="s">
        <v>10</v>
      </c>
      <c r="E36">
        <v>11</v>
      </c>
      <c r="F36">
        <v>30</v>
      </c>
      <c r="G36" t="s">
        <v>18</v>
      </c>
      <c r="H36">
        <v>4</v>
      </c>
      <c r="I36">
        <f t="shared" si="0"/>
        <v>330</v>
      </c>
    </row>
    <row r="37" spans="1:9" x14ac:dyDescent="0.3">
      <c r="A37" s="1">
        <v>45675</v>
      </c>
      <c r="B37" t="s">
        <v>19</v>
      </c>
      <c r="C37" t="s">
        <v>20</v>
      </c>
      <c r="D37" t="s">
        <v>21</v>
      </c>
      <c r="E37">
        <v>7</v>
      </c>
      <c r="F37">
        <v>25</v>
      </c>
      <c r="G37" t="s">
        <v>11</v>
      </c>
      <c r="H37">
        <v>3</v>
      </c>
      <c r="I37">
        <f t="shared" si="0"/>
        <v>175</v>
      </c>
    </row>
    <row r="38" spans="1:9" x14ac:dyDescent="0.3">
      <c r="A38" s="1">
        <v>45676</v>
      </c>
      <c r="B38" t="s">
        <v>28</v>
      </c>
      <c r="C38" t="s">
        <v>24</v>
      </c>
      <c r="D38" t="s">
        <v>13</v>
      </c>
      <c r="E38">
        <v>3</v>
      </c>
      <c r="F38">
        <v>120</v>
      </c>
      <c r="G38" t="s">
        <v>27</v>
      </c>
      <c r="H38">
        <v>5</v>
      </c>
      <c r="I38">
        <f t="shared" si="0"/>
        <v>360</v>
      </c>
    </row>
    <row r="39" spans="1:9" x14ac:dyDescent="0.3">
      <c r="A39" s="1">
        <v>45676</v>
      </c>
      <c r="B39" t="s">
        <v>8</v>
      </c>
      <c r="C39" t="s">
        <v>9</v>
      </c>
      <c r="D39" t="s">
        <v>17</v>
      </c>
      <c r="E39">
        <v>10</v>
      </c>
      <c r="F39">
        <v>20</v>
      </c>
      <c r="G39" t="s">
        <v>14</v>
      </c>
      <c r="H39">
        <v>4</v>
      </c>
      <c r="I39">
        <f t="shared" si="0"/>
        <v>200</v>
      </c>
    </row>
    <row r="40" spans="1:9" x14ac:dyDescent="0.3">
      <c r="A40" s="1">
        <v>45677</v>
      </c>
      <c r="B40" t="s">
        <v>15</v>
      </c>
      <c r="C40" t="s">
        <v>16</v>
      </c>
      <c r="D40" t="s">
        <v>21</v>
      </c>
      <c r="E40">
        <v>12</v>
      </c>
      <c r="F40">
        <v>30</v>
      </c>
      <c r="G40" t="s">
        <v>25</v>
      </c>
      <c r="H40">
        <v>5</v>
      </c>
      <c r="I40">
        <f t="shared" si="0"/>
        <v>360</v>
      </c>
    </row>
    <row r="41" spans="1:9" x14ac:dyDescent="0.3">
      <c r="A41" s="1">
        <v>45677</v>
      </c>
      <c r="B41" t="s">
        <v>26</v>
      </c>
      <c r="C41" t="s">
        <v>20</v>
      </c>
      <c r="D41" t="s">
        <v>10</v>
      </c>
      <c r="E41">
        <v>5</v>
      </c>
      <c r="F41">
        <v>40</v>
      </c>
      <c r="G41" t="s">
        <v>22</v>
      </c>
      <c r="H41">
        <v>2</v>
      </c>
      <c r="I41">
        <f t="shared" si="0"/>
        <v>200</v>
      </c>
    </row>
    <row r="42" spans="1:9" x14ac:dyDescent="0.3">
      <c r="A42" s="1">
        <v>45678</v>
      </c>
      <c r="B42" t="s">
        <v>23</v>
      </c>
      <c r="C42" t="s">
        <v>24</v>
      </c>
      <c r="D42" t="s">
        <v>13</v>
      </c>
      <c r="E42">
        <v>6</v>
      </c>
      <c r="F42">
        <v>18</v>
      </c>
      <c r="G42" t="s">
        <v>18</v>
      </c>
      <c r="H42">
        <v>4</v>
      </c>
      <c r="I42">
        <f t="shared" si="0"/>
        <v>108</v>
      </c>
    </row>
    <row r="43" spans="1:9" x14ac:dyDescent="0.3">
      <c r="A43" s="1">
        <v>45678</v>
      </c>
      <c r="B43" t="s">
        <v>8</v>
      </c>
      <c r="C43" t="s">
        <v>9</v>
      </c>
      <c r="D43" t="s">
        <v>21</v>
      </c>
      <c r="E43">
        <v>15</v>
      </c>
      <c r="F43">
        <v>20</v>
      </c>
      <c r="G43" t="s">
        <v>11</v>
      </c>
      <c r="H43">
        <v>5</v>
      </c>
      <c r="I43">
        <f t="shared" si="0"/>
        <v>300</v>
      </c>
    </row>
    <row r="44" spans="1:9" x14ac:dyDescent="0.3">
      <c r="A44" s="1">
        <v>45679</v>
      </c>
      <c r="B44" t="s">
        <v>12</v>
      </c>
      <c r="C44" t="s">
        <v>9</v>
      </c>
      <c r="D44" t="s">
        <v>10</v>
      </c>
      <c r="E44">
        <v>9</v>
      </c>
      <c r="F44">
        <v>15</v>
      </c>
      <c r="G44" t="s">
        <v>14</v>
      </c>
      <c r="H44">
        <v>4</v>
      </c>
      <c r="I44">
        <f t="shared" si="0"/>
        <v>135</v>
      </c>
    </row>
    <row r="45" spans="1:9" x14ac:dyDescent="0.3">
      <c r="A45" s="1">
        <v>45679</v>
      </c>
      <c r="B45" t="s">
        <v>28</v>
      </c>
      <c r="C45" t="s">
        <v>24</v>
      </c>
      <c r="D45" t="s">
        <v>17</v>
      </c>
      <c r="E45">
        <v>4</v>
      </c>
      <c r="F45">
        <v>120</v>
      </c>
      <c r="G45" t="s">
        <v>25</v>
      </c>
      <c r="H45">
        <v>5</v>
      </c>
      <c r="I45">
        <f t="shared" si="0"/>
        <v>480</v>
      </c>
    </row>
    <row r="46" spans="1:9" x14ac:dyDescent="0.3">
      <c r="A46" s="1">
        <v>45680</v>
      </c>
      <c r="B46" t="s">
        <v>15</v>
      </c>
      <c r="C46" t="s">
        <v>16</v>
      </c>
      <c r="D46" t="s">
        <v>13</v>
      </c>
      <c r="E46">
        <v>14</v>
      </c>
      <c r="F46">
        <v>30</v>
      </c>
      <c r="G46" t="s">
        <v>27</v>
      </c>
      <c r="H46">
        <v>3</v>
      </c>
      <c r="I46">
        <f t="shared" si="0"/>
        <v>420</v>
      </c>
    </row>
    <row r="47" spans="1:9" x14ac:dyDescent="0.3">
      <c r="A47" s="1">
        <v>45680</v>
      </c>
      <c r="B47" t="s">
        <v>19</v>
      </c>
      <c r="C47" t="s">
        <v>20</v>
      </c>
      <c r="D47" t="s">
        <v>17</v>
      </c>
      <c r="E47">
        <v>8</v>
      </c>
      <c r="F47">
        <v>25</v>
      </c>
      <c r="G47" t="s">
        <v>22</v>
      </c>
      <c r="H47">
        <v>4</v>
      </c>
      <c r="I47">
        <f t="shared" si="0"/>
        <v>200</v>
      </c>
    </row>
    <row r="48" spans="1:9" x14ac:dyDescent="0.3">
      <c r="A48" s="1">
        <v>45681</v>
      </c>
      <c r="B48" t="s">
        <v>23</v>
      </c>
      <c r="C48" t="s">
        <v>24</v>
      </c>
      <c r="D48" t="s">
        <v>10</v>
      </c>
      <c r="E48">
        <v>7</v>
      </c>
      <c r="F48">
        <v>18</v>
      </c>
      <c r="G48" t="s">
        <v>18</v>
      </c>
      <c r="H48">
        <v>5</v>
      </c>
      <c r="I48">
        <f t="shared" si="0"/>
        <v>126</v>
      </c>
    </row>
    <row r="49" spans="1:9" x14ac:dyDescent="0.3">
      <c r="A49" s="1">
        <v>45681</v>
      </c>
      <c r="B49" t="s">
        <v>8</v>
      </c>
      <c r="C49" t="s">
        <v>9</v>
      </c>
      <c r="D49" t="s">
        <v>13</v>
      </c>
      <c r="E49">
        <v>9</v>
      </c>
      <c r="F49">
        <v>20</v>
      </c>
      <c r="G49" t="s">
        <v>11</v>
      </c>
      <c r="H49">
        <v>4</v>
      </c>
      <c r="I49">
        <f t="shared" si="0"/>
        <v>180</v>
      </c>
    </row>
    <row r="50" spans="1:9" x14ac:dyDescent="0.3">
      <c r="A50" s="1">
        <v>45682</v>
      </c>
      <c r="B50" t="s">
        <v>12</v>
      </c>
      <c r="C50" t="s">
        <v>9</v>
      </c>
      <c r="D50" t="s">
        <v>17</v>
      </c>
      <c r="E50">
        <v>10</v>
      </c>
      <c r="F50">
        <v>15</v>
      </c>
      <c r="G50" t="s">
        <v>14</v>
      </c>
      <c r="H50">
        <v>4</v>
      </c>
      <c r="I50">
        <f t="shared" si="0"/>
        <v>150</v>
      </c>
    </row>
    <row r="51" spans="1:9" x14ac:dyDescent="0.3">
      <c r="A51" s="1">
        <v>45682</v>
      </c>
      <c r="B51" t="s">
        <v>28</v>
      </c>
      <c r="C51" t="s">
        <v>24</v>
      </c>
      <c r="D51" t="s">
        <v>21</v>
      </c>
      <c r="E51">
        <v>2</v>
      </c>
      <c r="F51">
        <v>120</v>
      </c>
      <c r="G51" t="s">
        <v>22</v>
      </c>
      <c r="H51">
        <v>3</v>
      </c>
      <c r="I51">
        <f t="shared" si="0"/>
        <v>240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53AEF-8216-4C80-B854-E42978A21EC8}">
  <dimension ref="A1:L51"/>
  <sheetViews>
    <sheetView workbookViewId="0">
      <selection activeCell="L15" sqref="L15"/>
    </sheetView>
  </sheetViews>
  <sheetFormatPr defaultRowHeight="14.4" x14ac:dyDescent="0.3"/>
  <cols>
    <col min="1" max="1" width="10.33203125" bestFit="1" customWidth="1"/>
    <col min="7" max="7" width="11.21875" bestFit="1" customWidth="1"/>
    <col min="10" max="10" width="10.33203125" bestFit="1" customWidth="1"/>
  </cols>
  <sheetData>
    <row r="1" spans="1:12" x14ac:dyDescent="0.3">
      <c r="A1" s="3" t="s">
        <v>0</v>
      </c>
      <c r="B1" s="2" t="s">
        <v>1</v>
      </c>
      <c r="C1" s="2" t="s">
        <v>2</v>
      </c>
      <c r="D1" s="2" t="s">
        <v>3</v>
      </c>
      <c r="E1" s="2" t="s">
        <v>4</v>
      </c>
      <c r="F1" s="2" t="s">
        <v>5</v>
      </c>
      <c r="G1" s="2" t="s">
        <v>6</v>
      </c>
      <c r="H1" s="2" t="s">
        <v>7</v>
      </c>
      <c r="I1" s="2" t="s">
        <v>121</v>
      </c>
      <c r="J1" s="2" t="s">
        <v>122</v>
      </c>
    </row>
    <row r="2" spans="1:12" x14ac:dyDescent="0.3">
      <c r="A2" s="1">
        <v>45658</v>
      </c>
      <c r="B2" t="s">
        <v>8</v>
      </c>
      <c r="C2" t="s">
        <v>9</v>
      </c>
      <c r="D2" t="s">
        <v>10</v>
      </c>
      <c r="E2">
        <v>10</v>
      </c>
      <c r="F2">
        <v>20</v>
      </c>
      <c r="G2" t="s">
        <v>11</v>
      </c>
      <c r="H2">
        <v>4</v>
      </c>
      <c r="I2">
        <f>E2*F2</f>
        <v>200</v>
      </c>
      <c r="J2" t="str">
        <f>IF(H2&gt;=4,"Good","Average")</f>
        <v>Good</v>
      </c>
      <c r="L2">
        <f>SUM(E2:E51)</f>
        <v>414</v>
      </c>
    </row>
    <row r="3" spans="1:12" x14ac:dyDescent="0.3">
      <c r="A3" s="1">
        <v>45658</v>
      </c>
      <c r="B3" t="s">
        <v>12</v>
      </c>
      <c r="C3" t="s">
        <v>9</v>
      </c>
      <c r="D3" t="s">
        <v>13</v>
      </c>
      <c r="E3">
        <v>5</v>
      </c>
      <c r="F3">
        <v>15</v>
      </c>
      <c r="G3" t="s">
        <v>14</v>
      </c>
      <c r="H3">
        <v>5</v>
      </c>
      <c r="I3">
        <f t="shared" ref="I3:I51" si="0">E3*F3</f>
        <v>75</v>
      </c>
      <c r="J3" t="str">
        <f t="shared" ref="J3:J51" si="1">IF(H3&gt;=4,"Good","Average")</f>
        <v>Good</v>
      </c>
      <c r="L3">
        <f>SUM(I:I)</f>
        <v>11924</v>
      </c>
    </row>
    <row r="4" spans="1:12" x14ac:dyDescent="0.3">
      <c r="A4" s="1">
        <v>45659</v>
      </c>
      <c r="B4" t="s">
        <v>15</v>
      </c>
      <c r="C4" t="s">
        <v>16</v>
      </c>
      <c r="D4" t="s">
        <v>17</v>
      </c>
      <c r="E4">
        <v>8</v>
      </c>
      <c r="F4">
        <v>30</v>
      </c>
      <c r="G4" t="s">
        <v>18</v>
      </c>
      <c r="H4">
        <v>3</v>
      </c>
      <c r="I4">
        <f t="shared" si="0"/>
        <v>240</v>
      </c>
      <c r="J4" t="str">
        <f t="shared" si="1"/>
        <v>Average</v>
      </c>
      <c r="L4">
        <f>AVERAGE(H:H)</f>
        <v>3.9</v>
      </c>
    </row>
    <row r="5" spans="1:12" x14ac:dyDescent="0.3">
      <c r="A5" s="1">
        <v>45659</v>
      </c>
      <c r="B5" t="s">
        <v>19</v>
      </c>
      <c r="C5" t="s">
        <v>20</v>
      </c>
      <c r="D5" t="s">
        <v>21</v>
      </c>
      <c r="E5">
        <v>12</v>
      </c>
      <c r="F5">
        <v>25</v>
      </c>
      <c r="G5" t="s">
        <v>22</v>
      </c>
      <c r="H5">
        <v>0</v>
      </c>
      <c r="I5">
        <f t="shared" si="0"/>
        <v>300</v>
      </c>
      <c r="J5" t="str">
        <f t="shared" si="1"/>
        <v>Average</v>
      </c>
      <c r="L5">
        <f>COUNTA(A:A)</f>
        <v>51</v>
      </c>
    </row>
    <row r="6" spans="1:12" x14ac:dyDescent="0.3">
      <c r="A6" s="1">
        <v>45660</v>
      </c>
      <c r="B6" t="s">
        <v>23</v>
      </c>
      <c r="C6" t="s">
        <v>24</v>
      </c>
      <c r="D6" t="s">
        <v>10</v>
      </c>
      <c r="E6">
        <v>6</v>
      </c>
      <c r="F6">
        <v>18</v>
      </c>
      <c r="G6" t="s">
        <v>25</v>
      </c>
      <c r="H6">
        <v>4</v>
      </c>
      <c r="I6">
        <f t="shared" si="0"/>
        <v>108</v>
      </c>
      <c r="J6" t="str">
        <f t="shared" si="1"/>
        <v>Good</v>
      </c>
      <c r="L6">
        <f>SUMIFS(I:I,C:C,"Snacks")</f>
        <v>3185</v>
      </c>
    </row>
    <row r="7" spans="1:12" x14ac:dyDescent="0.3">
      <c r="A7" s="1">
        <v>45660</v>
      </c>
      <c r="B7" t="s">
        <v>26</v>
      </c>
      <c r="C7" t="s">
        <v>20</v>
      </c>
      <c r="D7" t="s">
        <v>13</v>
      </c>
      <c r="E7">
        <v>4</v>
      </c>
      <c r="F7">
        <v>40</v>
      </c>
      <c r="G7" t="s">
        <v>27</v>
      </c>
      <c r="H7">
        <v>2</v>
      </c>
      <c r="I7">
        <f t="shared" si="0"/>
        <v>160</v>
      </c>
      <c r="J7" t="str">
        <f t="shared" si="1"/>
        <v>Average</v>
      </c>
      <c r="L7">
        <f>SUMIFS(E:E,D:D,"North")</f>
        <v>111</v>
      </c>
    </row>
    <row r="8" spans="1:12" x14ac:dyDescent="0.3">
      <c r="A8" s="1">
        <v>45661</v>
      </c>
      <c r="B8" t="s">
        <v>28</v>
      </c>
      <c r="C8" t="s">
        <v>24</v>
      </c>
      <c r="D8" t="s">
        <v>17</v>
      </c>
      <c r="E8">
        <v>3</v>
      </c>
      <c r="F8">
        <v>120</v>
      </c>
      <c r="G8" t="s">
        <v>120</v>
      </c>
      <c r="H8">
        <v>5</v>
      </c>
      <c r="I8">
        <f t="shared" si="0"/>
        <v>360</v>
      </c>
      <c r="J8" t="str">
        <f t="shared" si="1"/>
        <v>Good</v>
      </c>
      <c r="L8">
        <f>AVERAGEIFS(H:H,C:C,"Bakery")</f>
        <v>4.1333333333333337</v>
      </c>
    </row>
    <row r="9" spans="1:12" x14ac:dyDescent="0.3">
      <c r="A9" s="1">
        <v>45661</v>
      </c>
      <c r="B9" t="s">
        <v>12</v>
      </c>
      <c r="C9" t="s">
        <v>9</v>
      </c>
      <c r="D9" t="s">
        <v>21</v>
      </c>
      <c r="E9">
        <v>10</v>
      </c>
      <c r="F9">
        <v>15</v>
      </c>
      <c r="G9" t="s">
        <v>14</v>
      </c>
      <c r="H9">
        <v>4</v>
      </c>
      <c r="I9">
        <f t="shared" si="0"/>
        <v>150</v>
      </c>
      <c r="J9" t="str">
        <f t="shared" si="1"/>
        <v>Good</v>
      </c>
      <c r="L9">
        <f>MAX(H:H)</f>
        <v>5</v>
      </c>
    </row>
    <row r="10" spans="1:12" x14ac:dyDescent="0.3">
      <c r="A10" s="1">
        <v>45662</v>
      </c>
      <c r="B10" t="s">
        <v>15</v>
      </c>
      <c r="C10" t="s">
        <v>119</v>
      </c>
      <c r="D10" t="s">
        <v>10</v>
      </c>
      <c r="E10">
        <v>15</v>
      </c>
      <c r="F10">
        <v>30</v>
      </c>
      <c r="G10" t="s">
        <v>11</v>
      </c>
      <c r="H10">
        <v>3</v>
      </c>
      <c r="I10">
        <f t="shared" si="0"/>
        <v>450</v>
      </c>
      <c r="J10" t="str">
        <f t="shared" si="1"/>
        <v>Average</v>
      </c>
      <c r="L10" t="str">
        <f>INDEX(B:B,MATCH(MAX(H:H),H:H,0))</f>
        <v>Chips</v>
      </c>
    </row>
    <row r="11" spans="1:12" x14ac:dyDescent="0.3">
      <c r="A11" s="1">
        <v>45662</v>
      </c>
      <c r="B11" t="s">
        <v>19</v>
      </c>
      <c r="C11" t="s">
        <v>20</v>
      </c>
      <c r="D11" t="s">
        <v>13</v>
      </c>
      <c r="E11">
        <v>9</v>
      </c>
      <c r="F11">
        <v>25</v>
      </c>
      <c r="G11" t="s">
        <v>22</v>
      </c>
      <c r="H11">
        <v>4</v>
      </c>
      <c r="I11">
        <f t="shared" si="0"/>
        <v>225</v>
      </c>
      <c r="J11" t="str">
        <f t="shared" si="1"/>
        <v>Good</v>
      </c>
      <c r="L11">
        <f>MIN(H:H)</f>
        <v>0</v>
      </c>
    </row>
    <row r="12" spans="1:12" x14ac:dyDescent="0.3">
      <c r="A12" s="1">
        <v>45663</v>
      </c>
      <c r="B12" t="s">
        <v>23</v>
      </c>
      <c r="C12" t="s">
        <v>24</v>
      </c>
      <c r="D12" t="s">
        <v>17</v>
      </c>
      <c r="E12">
        <v>7</v>
      </c>
      <c r="F12">
        <v>18</v>
      </c>
      <c r="G12" t="s">
        <v>25</v>
      </c>
      <c r="H12">
        <v>5</v>
      </c>
      <c r="I12">
        <f t="shared" si="0"/>
        <v>126</v>
      </c>
      <c r="J12" t="str">
        <f t="shared" si="1"/>
        <v>Good</v>
      </c>
      <c r="L12">
        <f>COUNTA(_xlfn.UNIQUE(B:B))</f>
        <v>10</v>
      </c>
    </row>
    <row r="13" spans="1:12" x14ac:dyDescent="0.3">
      <c r="A13" s="1">
        <v>45809</v>
      </c>
      <c r="B13" t="s">
        <v>26</v>
      </c>
      <c r="C13" t="s">
        <v>20</v>
      </c>
      <c r="D13" t="s">
        <v>10</v>
      </c>
      <c r="E13">
        <v>5</v>
      </c>
      <c r="F13">
        <v>40</v>
      </c>
      <c r="G13" t="s">
        <v>27</v>
      </c>
      <c r="H13">
        <v>4</v>
      </c>
      <c r="I13">
        <f t="shared" si="0"/>
        <v>200</v>
      </c>
      <c r="J13" t="str">
        <f t="shared" si="1"/>
        <v>Good</v>
      </c>
      <c r="L13">
        <f>MAX(I:I)</f>
        <v>600</v>
      </c>
    </row>
    <row r="14" spans="1:12" x14ac:dyDescent="0.3">
      <c r="A14" s="1">
        <v>45664</v>
      </c>
      <c r="B14" t="s">
        <v>28</v>
      </c>
      <c r="C14" t="s">
        <v>24</v>
      </c>
      <c r="D14" t="s">
        <v>13</v>
      </c>
      <c r="E14">
        <v>2</v>
      </c>
      <c r="F14">
        <v>120</v>
      </c>
      <c r="G14" t="s">
        <v>18</v>
      </c>
      <c r="H14">
        <v>3</v>
      </c>
      <c r="I14">
        <f t="shared" si="0"/>
        <v>240</v>
      </c>
      <c r="J14" t="str">
        <f t="shared" si="1"/>
        <v>Average</v>
      </c>
      <c r="L14" t="str">
        <f>INDEX(G:G,MATCH(MAX(I:I),I:I,0))</f>
        <v>Ashwin</v>
      </c>
    </row>
    <row r="15" spans="1:12" x14ac:dyDescent="0.3">
      <c r="A15" s="1">
        <v>45664</v>
      </c>
      <c r="B15" t="s">
        <v>118</v>
      </c>
      <c r="C15" t="s">
        <v>9</v>
      </c>
      <c r="D15" t="s">
        <v>17</v>
      </c>
      <c r="E15">
        <v>20</v>
      </c>
      <c r="F15">
        <v>20</v>
      </c>
      <c r="G15" t="s">
        <v>14</v>
      </c>
      <c r="H15">
        <v>5</v>
      </c>
      <c r="I15">
        <f t="shared" si="0"/>
        <v>400</v>
      </c>
      <c r="J15" t="str">
        <f t="shared" si="1"/>
        <v>Good</v>
      </c>
      <c r="L15">
        <f>SUMIFS(I:I,D:D,"South")</f>
        <v>3100</v>
      </c>
    </row>
    <row r="16" spans="1:12" x14ac:dyDescent="0.3">
      <c r="A16" s="1">
        <v>45665</v>
      </c>
      <c r="B16" t="s">
        <v>12</v>
      </c>
      <c r="C16" t="s">
        <v>9</v>
      </c>
      <c r="D16" t="s">
        <v>10</v>
      </c>
      <c r="E16">
        <v>12</v>
      </c>
      <c r="F16">
        <v>15</v>
      </c>
      <c r="G16" t="s">
        <v>11</v>
      </c>
      <c r="H16">
        <v>4</v>
      </c>
      <c r="I16">
        <f t="shared" si="0"/>
        <v>180</v>
      </c>
      <c r="J16" t="str">
        <f t="shared" si="1"/>
        <v>Good</v>
      </c>
    </row>
    <row r="17" spans="1:10" x14ac:dyDescent="0.3">
      <c r="A17" s="1">
        <v>45665</v>
      </c>
      <c r="B17" t="s">
        <v>15</v>
      </c>
      <c r="C17" t="s">
        <v>16</v>
      </c>
      <c r="D17" t="s">
        <v>21</v>
      </c>
      <c r="E17">
        <v>10</v>
      </c>
      <c r="F17">
        <v>30</v>
      </c>
      <c r="G17" t="s">
        <v>18</v>
      </c>
      <c r="H17">
        <v>3</v>
      </c>
      <c r="I17">
        <f t="shared" si="0"/>
        <v>300</v>
      </c>
      <c r="J17" t="str">
        <f t="shared" si="1"/>
        <v>Average</v>
      </c>
    </row>
    <row r="18" spans="1:10" x14ac:dyDescent="0.3">
      <c r="A18" s="1">
        <v>45901</v>
      </c>
      <c r="B18" t="s">
        <v>19</v>
      </c>
      <c r="C18" t="s">
        <v>20</v>
      </c>
      <c r="D18" t="s">
        <v>17</v>
      </c>
      <c r="E18">
        <v>6</v>
      </c>
      <c r="F18">
        <v>25</v>
      </c>
      <c r="G18" t="s">
        <v>22</v>
      </c>
      <c r="H18">
        <v>4</v>
      </c>
      <c r="I18">
        <f t="shared" si="0"/>
        <v>150</v>
      </c>
      <c r="J18" t="str">
        <f t="shared" si="1"/>
        <v>Good</v>
      </c>
    </row>
    <row r="19" spans="1:10" x14ac:dyDescent="0.3">
      <c r="A19" s="1">
        <v>45666</v>
      </c>
      <c r="B19" t="s">
        <v>8</v>
      </c>
      <c r="C19" t="s">
        <v>9</v>
      </c>
      <c r="D19" t="s">
        <v>13</v>
      </c>
      <c r="E19">
        <v>14</v>
      </c>
      <c r="F19">
        <v>20</v>
      </c>
      <c r="G19" t="s">
        <v>27</v>
      </c>
      <c r="H19">
        <v>5</v>
      </c>
      <c r="I19">
        <f t="shared" si="0"/>
        <v>280</v>
      </c>
      <c r="J19" t="str">
        <f t="shared" si="1"/>
        <v>Good</v>
      </c>
    </row>
    <row r="20" spans="1:10" x14ac:dyDescent="0.3">
      <c r="A20" s="1">
        <v>45667</v>
      </c>
      <c r="B20" t="s">
        <v>23</v>
      </c>
      <c r="C20" t="s">
        <v>24</v>
      </c>
      <c r="D20" t="s">
        <v>21</v>
      </c>
      <c r="E20">
        <v>8</v>
      </c>
      <c r="F20">
        <v>18</v>
      </c>
      <c r="G20" t="s">
        <v>25</v>
      </c>
      <c r="H20">
        <v>0</v>
      </c>
      <c r="I20">
        <f t="shared" si="0"/>
        <v>144</v>
      </c>
      <c r="J20" t="str">
        <f t="shared" si="1"/>
        <v>Average</v>
      </c>
    </row>
    <row r="21" spans="1:10" x14ac:dyDescent="0.3">
      <c r="A21" s="1">
        <v>45667</v>
      </c>
      <c r="B21" t="s">
        <v>28</v>
      </c>
      <c r="C21" t="s">
        <v>24</v>
      </c>
      <c r="D21" t="s">
        <v>10</v>
      </c>
      <c r="E21">
        <v>3</v>
      </c>
      <c r="F21">
        <v>120</v>
      </c>
      <c r="G21" t="s">
        <v>14</v>
      </c>
      <c r="H21">
        <v>5</v>
      </c>
      <c r="I21">
        <f t="shared" si="0"/>
        <v>360</v>
      </c>
      <c r="J21" t="str">
        <f t="shared" si="1"/>
        <v>Good</v>
      </c>
    </row>
    <row r="22" spans="1:10" x14ac:dyDescent="0.3">
      <c r="A22" s="1">
        <v>45668</v>
      </c>
      <c r="B22" t="s">
        <v>15</v>
      </c>
      <c r="C22" t="s">
        <v>16</v>
      </c>
      <c r="D22" t="s">
        <v>13</v>
      </c>
      <c r="E22">
        <v>10</v>
      </c>
      <c r="F22">
        <v>30</v>
      </c>
      <c r="G22" t="s">
        <v>11</v>
      </c>
      <c r="H22">
        <v>4</v>
      </c>
      <c r="I22">
        <f t="shared" si="0"/>
        <v>300</v>
      </c>
      <c r="J22" t="str">
        <f t="shared" si="1"/>
        <v>Good</v>
      </c>
    </row>
    <row r="23" spans="1:10" x14ac:dyDescent="0.3">
      <c r="A23" s="1">
        <v>45668</v>
      </c>
      <c r="B23" t="s">
        <v>12</v>
      </c>
      <c r="C23" t="s">
        <v>9</v>
      </c>
      <c r="D23" t="s">
        <v>17</v>
      </c>
      <c r="E23">
        <v>11</v>
      </c>
      <c r="F23">
        <v>15</v>
      </c>
      <c r="G23" t="s">
        <v>22</v>
      </c>
      <c r="H23">
        <v>3</v>
      </c>
      <c r="I23">
        <f t="shared" si="0"/>
        <v>165</v>
      </c>
      <c r="J23" t="str">
        <f t="shared" si="1"/>
        <v>Average</v>
      </c>
    </row>
    <row r="24" spans="1:10" x14ac:dyDescent="0.3">
      <c r="A24" s="1">
        <v>45669</v>
      </c>
      <c r="B24" t="s">
        <v>8</v>
      </c>
      <c r="C24" t="s">
        <v>9</v>
      </c>
      <c r="D24" t="s">
        <v>21</v>
      </c>
      <c r="E24">
        <v>9</v>
      </c>
      <c r="F24">
        <v>20</v>
      </c>
      <c r="G24" t="s">
        <v>27</v>
      </c>
      <c r="H24">
        <v>4</v>
      </c>
      <c r="I24">
        <f t="shared" si="0"/>
        <v>180</v>
      </c>
      <c r="J24" t="str">
        <f t="shared" si="1"/>
        <v>Good</v>
      </c>
    </row>
    <row r="25" spans="1:10" x14ac:dyDescent="0.3">
      <c r="A25" s="1">
        <v>45669</v>
      </c>
      <c r="B25" t="s">
        <v>19</v>
      </c>
      <c r="C25" t="s">
        <v>20</v>
      </c>
      <c r="D25" t="s">
        <v>10</v>
      </c>
      <c r="E25">
        <v>5</v>
      </c>
      <c r="F25">
        <v>25</v>
      </c>
      <c r="G25" t="s">
        <v>18</v>
      </c>
      <c r="H25">
        <v>5</v>
      </c>
      <c r="I25">
        <f t="shared" si="0"/>
        <v>125</v>
      </c>
      <c r="J25" t="str">
        <f t="shared" si="1"/>
        <v>Good</v>
      </c>
    </row>
    <row r="26" spans="1:10" x14ac:dyDescent="0.3">
      <c r="A26" s="1">
        <v>45670</v>
      </c>
      <c r="B26" t="s">
        <v>28</v>
      </c>
      <c r="C26" t="s">
        <v>24</v>
      </c>
      <c r="D26" t="s">
        <v>13</v>
      </c>
      <c r="E26">
        <v>4</v>
      </c>
      <c r="F26">
        <v>120</v>
      </c>
      <c r="G26" t="s">
        <v>25</v>
      </c>
      <c r="H26">
        <v>5</v>
      </c>
      <c r="I26">
        <f t="shared" si="0"/>
        <v>480</v>
      </c>
      <c r="J26" t="str">
        <f t="shared" si="1"/>
        <v>Good</v>
      </c>
    </row>
    <row r="27" spans="1:10" x14ac:dyDescent="0.3">
      <c r="A27" s="1">
        <v>45670</v>
      </c>
      <c r="B27" t="s">
        <v>12</v>
      </c>
      <c r="C27" t="s">
        <v>9</v>
      </c>
      <c r="D27" t="s">
        <v>21</v>
      </c>
      <c r="E27">
        <v>7</v>
      </c>
      <c r="F27">
        <v>15</v>
      </c>
      <c r="G27" t="s">
        <v>14</v>
      </c>
      <c r="H27">
        <v>3</v>
      </c>
      <c r="I27">
        <f t="shared" si="0"/>
        <v>105</v>
      </c>
      <c r="J27" t="str">
        <f t="shared" si="1"/>
        <v>Average</v>
      </c>
    </row>
    <row r="28" spans="1:10" x14ac:dyDescent="0.3">
      <c r="A28" s="1">
        <v>45671</v>
      </c>
      <c r="B28" t="s">
        <v>15</v>
      </c>
      <c r="C28" t="s">
        <v>16</v>
      </c>
      <c r="D28" t="s">
        <v>17</v>
      </c>
      <c r="E28">
        <v>6</v>
      </c>
      <c r="F28">
        <v>30</v>
      </c>
      <c r="G28" t="s">
        <v>22</v>
      </c>
      <c r="H28">
        <v>4</v>
      </c>
      <c r="I28">
        <f t="shared" si="0"/>
        <v>180</v>
      </c>
      <c r="J28" t="str">
        <f t="shared" si="1"/>
        <v>Good</v>
      </c>
    </row>
    <row r="29" spans="1:10" x14ac:dyDescent="0.3">
      <c r="A29" s="1">
        <v>45671</v>
      </c>
      <c r="B29" t="s">
        <v>23</v>
      </c>
      <c r="C29" t="s">
        <v>24</v>
      </c>
      <c r="D29" t="s">
        <v>10</v>
      </c>
      <c r="E29">
        <v>10</v>
      </c>
      <c r="F29">
        <v>18</v>
      </c>
      <c r="G29" t="s">
        <v>27</v>
      </c>
      <c r="H29">
        <v>5</v>
      </c>
      <c r="I29">
        <f t="shared" si="0"/>
        <v>180</v>
      </c>
      <c r="J29" t="str">
        <f t="shared" si="1"/>
        <v>Good</v>
      </c>
    </row>
    <row r="30" spans="1:10" x14ac:dyDescent="0.3">
      <c r="A30" s="1">
        <v>45672</v>
      </c>
      <c r="B30" t="s">
        <v>19</v>
      </c>
      <c r="C30" t="s">
        <v>20</v>
      </c>
      <c r="D30" t="s">
        <v>13</v>
      </c>
      <c r="E30">
        <v>8</v>
      </c>
      <c r="F30">
        <v>25</v>
      </c>
      <c r="G30" t="s">
        <v>120</v>
      </c>
      <c r="H30">
        <v>4</v>
      </c>
      <c r="I30">
        <f t="shared" si="0"/>
        <v>200</v>
      </c>
      <c r="J30" t="str">
        <f t="shared" si="1"/>
        <v>Good</v>
      </c>
    </row>
    <row r="31" spans="1:10" x14ac:dyDescent="0.3">
      <c r="A31" s="1">
        <v>45672</v>
      </c>
      <c r="B31" t="s">
        <v>28</v>
      </c>
      <c r="C31" t="s">
        <v>24</v>
      </c>
      <c r="D31" t="s">
        <v>17</v>
      </c>
      <c r="E31">
        <v>5</v>
      </c>
      <c r="F31">
        <v>120</v>
      </c>
      <c r="G31" t="s">
        <v>11</v>
      </c>
      <c r="H31">
        <v>5</v>
      </c>
      <c r="I31">
        <f t="shared" si="0"/>
        <v>600</v>
      </c>
      <c r="J31" t="str">
        <f t="shared" si="1"/>
        <v>Good</v>
      </c>
    </row>
    <row r="32" spans="1:10" x14ac:dyDescent="0.3">
      <c r="A32" s="1">
        <v>45673</v>
      </c>
      <c r="B32" t="s">
        <v>8</v>
      </c>
      <c r="C32" t="s">
        <v>9</v>
      </c>
      <c r="D32" t="s">
        <v>10</v>
      </c>
      <c r="E32">
        <v>13</v>
      </c>
      <c r="F32">
        <v>20</v>
      </c>
      <c r="G32" t="s">
        <v>14</v>
      </c>
      <c r="H32">
        <v>5</v>
      </c>
      <c r="I32">
        <f t="shared" si="0"/>
        <v>260</v>
      </c>
      <c r="J32" t="str">
        <f t="shared" si="1"/>
        <v>Good</v>
      </c>
    </row>
    <row r="33" spans="1:10" x14ac:dyDescent="0.3">
      <c r="A33" s="1">
        <v>45673</v>
      </c>
      <c r="B33" t="s">
        <v>26</v>
      </c>
      <c r="C33" t="s">
        <v>20</v>
      </c>
      <c r="D33" t="s">
        <v>21</v>
      </c>
      <c r="E33">
        <v>6</v>
      </c>
      <c r="F33">
        <v>40</v>
      </c>
      <c r="G33" t="s">
        <v>27</v>
      </c>
      <c r="H33">
        <v>4</v>
      </c>
      <c r="I33">
        <f t="shared" si="0"/>
        <v>240</v>
      </c>
      <c r="J33" t="str">
        <f t="shared" si="1"/>
        <v>Good</v>
      </c>
    </row>
    <row r="34" spans="1:10" x14ac:dyDescent="0.3">
      <c r="A34" s="1">
        <v>45674</v>
      </c>
      <c r="B34" t="s">
        <v>23</v>
      </c>
      <c r="C34" t="s">
        <v>24</v>
      </c>
      <c r="D34" t="s">
        <v>13</v>
      </c>
      <c r="E34">
        <v>4</v>
      </c>
      <c r="F34">
        <v>18</v>
      </c>
      <c r="G34" t="s">
        <v>25</v>
      </c>
      <c r="H34">
        <v>3</v>
      </c>
      <c r="I34">
        <f t="shared" si="0"/>
        <v>72</v>
      </c>
      <c r="J34" t="str">
        <f t="shared" si="1"/>
        <v>Average</v>
      </c>
    </row>
    <row r="35" spans="1:10" x14ac:dyDescent="0.3">
      <c r="A35" s="1">
        <v>45674</v>
      </c>
      <c r="B35" t="s">
        <v>12</v>
      </c>
      <c r="C35" t="s">
        <v>9</v>
      </c>
      <c r="D35" t="s">
        <v>17</v>
      </c>
      <c r="E35">
        <v>15</v>
      </c>
      <c r="F35">
        <v>15</v>
      </c>
      <c r="G35" t="s">
        <v>22</v>
      </c>
      <c r="H35">
        <v>5</v>
      </c>
      <c r="I35">
        <f t="shared" si="0"/>
        <v>225</v>
      </c>
      <c r="J35" t="str">
        <f t="shared" si="1"/>
        <v>Good</v>
      </c>
    </row>
    <row r="36" spans="1:10" x14ac:dyDescent="0.3">
      <c r="A36" s="1">
        <v>45675</v>
      </c>
      <c r="B36" t="s">
        <v>15</v>
      </c>
      <c r="C36" t="s">
        <v>16</v>
      </c>
      <c r="D36" t="s">
        <v>10</v>
      </c>
      <c r="E36">
        <v>11</v>
      </c>
      <c r="F36">
        <v>30</v>
      </c>
      <c r="G36" t="s">
        <v>18</v>
      </c>
      <c r="H36">
        <v>4</v>
      </c>
      <c r="I36">
        <f t="shared" si="0"/>
        <v>330</v>
      </c>
      <c r="J36" t="str">
        <f t="shared" si="1"/>
        <v>Good</v>
      </c>
    </row>
    <row r="37" spans="1:10" x14ac:dyDescent="0.3">
      <c r="A37" s="1">
        <v>45675</v>
      </c>
      <c r="B37" t="s">
        <v>19</v>
      </c>
      <c r="C37" t="s">
        <v>20</v>
      </c>
      <c r="D37" t="s">
        <v>21</v>
      </c>
      <c r="E37">
        <v>7</v>
      </c>
      <c r="F37">
        <v>25</v>
      </c>
      <c r="G37" t="s">
        <v>11</v>
      </c>
      <c r="H37">
        <v>3</v>
      </c>
      <c r="I37">
        <f t="shared" si="0"/>
        <v>175</v>
      </c>
      <c r="J37" t="str">
        <f t="shared" si="1"/>
        <v>Average</v>
      </c>
    </row>
    <row r="38" spans="1:10" x14ac:dyDescent="0.3">
      <c r="A38" s="1">
        <v>45676</v>
      </c>
      <c r="B38" t="s">
        <v>28</v>
      </c>
      <c r="C38" t="s">
        <v>24</v>
      </c>
      <c r="D38" t="s">
        <v>13</v>
      </c>
      <c r="E38">
        <v>3</v>
      </c>
      <c r="F38">
        <v>120</v>
      </c>
      <c r="G38" t="s">
        <v>27</v>
      </c>
      <c r="H38">
        <v>5</v>
      </c>
      <c r="I38">
        <f t="shared" si="0"/>
        <v>360</v>
      </c>
      <c r="J38" t="str">
        <f t="shared" si="1"/>
        <v>Good</v>
      </c>
    </row>
    <row r="39" spans="1:10" x14ac:dyDescent="0.3">
      <c r="A39" s="1">
        <v>45676</v>
      </c>
      <c r="B39" t="s">
        <v>8</v>
      </c>
      <c r="C39" t="s">
        <v>9</v>
      </c>
      <c r="D39" t="s">
        <v>17</v>
      </c>
      <c r="E39">
        <v>10</v>
      </c>
      <c r="F39">
        <v>20</v>
      </c>
      <c r="G39" t="s">
        <v>14</v>
      </c>
      <c r="H39">
        <v>4</v>
      </c>
      <c r="I39">
        <f t="shared" si="0"/>
        <v>200</v>
      </c>
      <c r="J39" t="str">
        <f t="shared" si="1"/>
        <v>Good</v>
      </c>
    </row>
    <row r="40" spans="1:10" x14ac:dyDescent="0.3">
      <c r="A40" s="1">
        <v>45677</v>
      </c>
      <c r="B40" t="s">
        <v>15</v>
      </c>
      <c r="C40" t="s">
        <v>16</v>
      </c>
      <c r="D40" t="s">
        <v>21</v>
      </c>
      <c r="E40">
        <v>12</v>
      </c>
      <c r="F40">
        <v>30</v>
      </c>
      <c r="G40" t="s">
        <v>25</v>
      </c>
      <c r="H40">
        <v>5</v>
      </c>
      <c r="I40">
        <f t="shared" si="0"/>
        <v>360</v>
      </c>
      <c r="J40" t="str">
        <f t="shared" si="1"/>
        <v>Good</v>
      </c>
    </row>
    <row r="41" spans="1:10" x14ac:dyDescent="0.3">
      <c r="A41" s="1">
        <v>45677</v>
      </c>
      <c r="B41" t="s">
        <v>26</v>
      </c>
      <c r="C41" t="s">
        <v>20</v>
      </c>
      <c r="D41" t="s">
        <v>10</v>
      </c>
      <c r="E41">
        <v>5</v>
      </c>
      <c r="F41">
        <v>40</v>
      </c>
      <c r="G41" t="s">
        <v>22</v>
      </c>
      <c r="H41">
        <v>2</v>
      </c>
      <c r="I41">
        <f t="shared" si="0"/>
        <v>200</v>
      </c>
      <c r="J41" t="str">
        <f t="shared" si="1"/>
        <v>Average</v>
      </c>
    </row>
    <row r="42" spans="1:10" x14ac:dyDescent="0.3">
      <c r="A42" s="1">
        <v>45678</v>
      </c>
      <c r="B42" t="s">
        <v>23</v>
      </c>
      <c r="C42" t="s">
        <v>24</v>
      </c>
      <c r="D42" t="s">
        <v>13</v>
      </c>
      <c r="E42">
        <v>6</v>
      </c>
      <c r="F42">
        <v>18</v>
      </c>
      <c r="G42" t="s">
        <v>18</v>
      </c>
      <c r="H42">
        <v>4</v>
      </c>
      <c r="I42">
        <f t="shared" si="0"/>
        <v>108</v>
      </c>
      <c r="J42" t="str">
        <f t="shared" si="1"/>
        <v>Good</v>
      </c>
    </row>
    <row r="43" spans="1:10" x14ac:dyDescent="0.3">
      <c r="A43" s="1">
        <v>45678</v>
      </c>
      <c r="B43" t="s">
        <v>8</v>
      </c>
      <c r="C43" t="s">
        <v>9</v>
      </c>
      <c r="D43" t="s">
        <v>21</v>
      </c>
      <c r="E43">
        <v>15</v>
      </c>
      <c r="F43">
        <v>20</v>
      </c>
      <c r="G43" t="s">
        <v>11</v>
      </c>
      <c r="H43">
        <v>5</v>
      </c>
      <c r="I43">
        <f t="shared" si="0"/>
        <v>300</v>
      </c>
      <c r="J43" t="str">
        <f t="shared" si="1"/>
        <v>Good</v>
      </c>
    </row>
    <row r="44" spans="1:10" x14ac:dyDescent="0.3">
      <c r="A44" s="1">
        <v>45679</v>
      </c>
      <c r="B44" t="s">
        <v>12</v>
      </c>
      <c r="C44" t="s">
        <v>9</v>
      </c>
      <c r="D44" t="s">
        <v>10</v>
      </c>
      <c r="E44">
        <v>9</v>
      </c>
      <c r="F44">
        <v>15</v>
      </c>
      <c r="G44" t="s">
        <v>14</v>
      </c>
      <c r="H44">
        <v>4</v>
      </c>
      <c r="I44">
        <f t="shared" si="0"/>
        <v>135</v>
      </c>
      <c r="J44" t="str">
        <f t="shared" si="1"/>
        <v>Good</v>
      </c>
    </row>
    <row r="45" spans="1:10" x14ac:dyDescent="0.3">
      <c r="A45" s="1">
        <v>45679</v>
      </c>
      <c r="B45" t="s">
        <v>28</v>
      </c>
      <c r="C45" t="s">
        <v>24</v>
      </c>
      <c r="D45" t="s">
        <v>17</v>
      </c>
      <c r="E45">
        <v>4</v>
      </c>
      <c r="F45">
        <v>120</v>
      </c>
      <c r="G45" t="s">
        <v>25</v>
      </c>
      <c r="H45">
        <v>5</v>
      </c>
      <c r="I45">
        <f t="shared" si="0"/>
        <v>480</v>
      </c>
      <c r="J45" t="str">
        <f t="shared" si="1"/>
        <v>Good</v>
      </c>
    </row>
    <row r="46" spans="1:10" x14ac:dyDescent="0.3">
      <c r="A46" s="1">
        <v>45680</v>
      </c>
      <c r="B46" t="s">
        <v>15</v>
      </c>
      <c r="C46" t="s">
        <v>16</v>
      </c>
      <c r="D46" t="s">
        <v>13</v>
      </c>
      <c r="E46">
        <v>14</v>
      </c>
      <c r="F46">
        <v>30</v>
      </c>
      <c r="G46" t="s">
        <v>27</v>
      </c>
      <c r="H46">
        <v>3</v>
      </c>
      <c r="I46">
        <f t="shared" si="0"/>
        <v>420</v>
      </c>
      <c r="J46" t="str">
        <f t="shared" si="1"/>
        <v>Average</v>
      </c>
    </row>
    <row r="47" spans="1:10" x14ac:dyDescent="0.3">
      <c r="A47" s="1">
        <v>45680</v>
      </c>
      <c r="B47" t="s">
        <v>19</v>
      </c>
      <c r="C47" t="s">
        <v>20</v>
      </c>
      <c r="D47" t="s">
        <v>17</v>
      </c>
      <c r="E47">
        <v>8</v>
      </c>
      <c r="F47">
        <v>25</v>
      </c>
      <c r="G47" t="s">
        <v>22</v>
      </c>
      <c r="H47">
        <v>4</v>
      </c>
      <c r="I47">
        <f t="shared" si="0"/>
        <v>200</v>
      </c>
      <c r="J47" t="str">
        <f t="shared" si="1"/>
        <v>Good</v>
      </c>
    </row>
    <row r="48" spans="1:10" x14ac:dyDescent="0.3">
      <c r="A48" s="1">
        <v>45681</v>
      </c>
      <c r="B48" t="s">
        <v>23</v>
      </c>
      <c r="C48" t="s">
        <v>24</v>
      </c>
      <c r="D48" t="s">
        <v>10</v>
      </c>
      <c r="E48">
        <v>7</v>
      </c>
      <c r="F48">
        <v>18</v>
      </c>
      <c r="G48" t="s">
        <v>18</v>
      </c>
      <c r="H48">
        <v>5</v>
      </c>
      <c r="I48">
        <f t="shared" si="0"/>
        <v>126</v>
      </c>
      <c r="J48" t="str">
        <f t="shared" si="1"/>
        <v>Good</v>
      </c>
    </row>
    <row r="49" spans="1:10" x14ac:dyDescent="0.3">
      <c r="A49" s="1">
        <v>45681</v>
      </c>
      <c r="B49" t="s">
        <v>8</v>
      </c>
      <c r="C49" t="s">
        <v>9</v>
      </c>
      <c r="D49" t="s">
        <v>13</v>
      </c>
      <c r="E49">
        <v>9</v>
      </c>
      <c r="F49">
        <v>20</v>
      </c>
      <c r="G49" t="s">
        <v>11</v>
      </c>
      <c r="H49">
        <v>4</v>
      </c>
      <c r="I49">
        <f t="shared" si="0"/>
        <v>180</v>
      </c>
      <c r="J49" t="str">
        <f t="shared" si="1"/>
        <v>Good</v>
      </c>
    </row>
    <row r="50" spans="1:10" x14ac:dyDescent="0.3">
      <c r="A50" s="1">
        <v>45682</v>
      </c>
      <c r="B50" t="s">
        <v>12</v>
      </c>
      <c r="C50" t="s">
        <v>9</v>
      </c>
      <c r="D50" t="s">
        <v>17</v>
      </c>
      <c r="E50">
        <v>10</v>
      </c>
      <c r="F50">
        <v>15</v>
      </c>
      <c r="G50" t="s">
        <v>14</v>
      </c>
      <c r="H50">
        <v>4</v>
      </c>
      <c r="I50">
        <f t="shared" si="0"/>
        <v>150</v>
      </c>
      <c r="J50" t="str">
        <f t="shared" si="1"/>
        <v>Good</v>
      </c>
    </row>
    <row r="51" spans="1:10" x14ac:dyDescent="0.3">
      <c r="A51" s="1">
        <v>45682</v>
      </c>
      <c r="B51" t="s">
        <v>28</v>
      </c>
      <c r="C51" t="s">
        <v>24</v>
      </c>
      <c r="D51" t="s">
        <v>21</v>
      </c>
      <c r="E51">
        <v>2</v>
      </c>
      <c r="F51">
        <v>120</v>
      </c>
      <c r="G51" t="s">
        <v>22</v>
      </c>
      <c r="H51">
        <v>3</v>
      </c>
      <c r="I51">
        <f t="shared" si="0"/>
        <v>240</v>
      </c>
      <c r="J51" t="str">
        <f t="shared" si="1"/>
        <v>Average</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FC17B-98FA-4C33-8130-072A44808A96}">
  <dimension ref="A1:H51"/>
  <sheetViews>
    <sheetView workbookViewId="0">
      <selection activeCell="K11" sqref="K11"/>
    </sheetView>
  </sheetViews>
  <sheetFormatPr defaultRowHeight="14.4" x14ac:dyDescent="0.3"/>
  <cols>
    <col min="1" max="1" width="10.33203125" bestFit="1" customWidth="1"/>
    <col min="7" max="7" width="10.88671875" bestFit="1" customWidth="1"/>
  </cols>
  <sheetData>
    <row r="1" spans="1:8" x14ac:dyDescent="0.3">
      <c r="A1" t="s">
        <v>0</v>
      </c>
      <c r="B1" t="s">
        <v>1</v>
      </c>
      <c r="C1" t="s">
        <v>2</v>
      </c>
      <c r="D1" t="s">
        <v>3</v>
      </c>
      <c r="E1" t="s">
        <v>4</v>
      </c>
      <c r="F1" t="s">
        <v>5</v>
      </c>
      <c r="G1" t="s">
        <v>6</v>
      </c>
      <c r="H1" t="s">
        <v>7</v>
      </c>
    </row>
    <row r="2" spans="1:8" x14ac:dyDescent="0.3">
      <c r="A2" s="1">
        <v>45658</v>
      </c>
      <c r="B2" t="s">
        <v>29</v>
      </c>
      <c r="C2" t="s">
        <v>30</v>
      </c>
      <c r="D2" t="s">
        <v>31</v>
      </c>
      <c r="E2">
        <v>10</v>
      </c>
      <c r="F2">
        <v>20</v>
      </c>
      <c r="G2" t="s">
        <v>32</v>
      </c>
      <c r="H2">
        <v>4</v>
      </c>
    </row>
    <row r="3" spans="1:8" x14ac:dyDescent="0.3">
      <c r="A3" s="1">
        <v>45658</v>
      </c>
      <c r="B3" t="s">
        <v>12</v>
      </c>
      <c r="C3" t="s">
        <v>33</v>
      </c>
      <c r="D3" t="s">
        <v>34</v>
      </c>
      <c r="E3">
        <v>5</v>
      </c>
      <c r="F3">
        <v>15</v>
      </c>
      <c r="G3" t="s">
        <v>35</v>
      </c>
      <c r="H3">
        <v>5</v>
      </c>
    </row>
    <row r="4" spans="1:8" x14ac:dyDescent="0.3">
      <c r="A4" s="1">
        <v>45659</v>
      </c>
      <c r="B4" t="s">
        <v>36</v>
      </c>
      <c r="C4" t="s">
        <v>37</v>
      </c>
      <c r="D4" t="s">
        <v>17</v>
      </c>
      <c r="E4" t="s">
        <v>38</v>
      </c>
      <c r="F4">
        <v>30</v>
      </c>
      <c r="G4" t="s">
        <v>18</v>
      </c>
      <c r="H4">
        <v>3</v>
      </c>
    </row>
    <row r="5" spans="1:8" x14ac:dyDescent="0.3">
      <c r="A5" s="1">
        <v>45659</v>
      </c>
      <c r="B5" t="s">
        <v>19</v>
      </c>
      <c r="C5" t="s">
        <v>39</v>
      </c>
      <c r="D5" t="s">
        <v>40</v>
      </c>
      <c r="E5">
        <v>12</v>
      </c>
      <c r="F5">
        <v>25</v>
      </c>
      <c r="G5" t="s">
        <v>22</v>
      </c>
    </row>
    <row r="6" spans="1:8" x14ac:dyDescent="0.3">
      <c r="A6" s="1">
        <v>45660</v>
      </c>
      <c r="B6" t="s">
        <v>41</v>
      </c>
      <c r="C6" t="s">
        <v>42</v>
      </c>
      <c r="D6" t="s">
        <v>43</v>
      </c>
      <c r="E6" t="s">
        <v>44</v>
      </c>
      <c r="F6">
        <v>18</v>
      </c>
      <c r="G6" t="s">
        <v>45</v>
      </c>
      <c r="H6">
        <v>4</v>
      </c>
    </row>
    <row r="7" spans="1:8" x14ac:dyDescent="0.3">
      <c r="A7" s="1">
        <v>45660</v>
      </c>
      <c r="B7" t="s">
        <v>26</v>
      </c>
      <c r="C7" t="s">
        <v>20</v>
      </c>
      <c r="D7" t="s">
        <v>13</v>
      </c>
      <c r="E7">
        <v>4</v>
      </c>
      <c r="F7">
        <v>40</v>
      </c>
      <c r="G7" t="s">
        <v>46</v>
      </c>
      <c r="H7">
        <v>2</v>
      </c>
    </row>
    <row r="8" spans="1:8" x14ac:dyDescent="0.3">
      <c r="A8" s="1">
        <v>45661</v>
      </c>
      <c r="B8" t="s">
        <v>28</v>
      </c>
      <c r="C8" t="s">
        <v>47</v>
      </c>
      <c r="D8" t="s">
        <v>17</v>
      </c>
      <c r="E8">
        <v>3</v>
      </c>
      <c r="F8">
        <v>120</v>
      </c>
      <c r="H8">
        <v>5</v>
      </c>
    </row>
    <row r="9" spans="1:8" x14ac:dyDescent="0.3">
      <c r="A9" s="1">
        <v>45661</v>
      </c>
      <c r="B9" t="s">
        <v>48</v>
      </c>
      <c r="C9" t="s">
        <v>33</v>
      </c>
      <c r="D9" t="s">
        <v>49</v>
      </c>
      <c r="E9">
        <v>10</v>
      </c>
      <c r="F9">
        <v>15</v>
      </c>
      <c r="G9" t="s">
        <v>14</v>
      </c>
      <c r="H9">
        <v>4</v>
      </c>
    </row>
    <row r="10" spans="1:8" x14ac:dyDescent="0.3">
      <c r="A10" s="1">
        <v>45662</v>
      </c>
      <c r="B10" t="s">
        <v>50</v>
      </c>
      <c r="C10" t="s">
        <v>51</v>
      </c>
      <c r="D10" t="s">
        <v>52</v>
      </c>
      <c r="E10">
        <v>15</v>
      </c>
      <c r="F10" t="s">
        <v>53</v>
      </c>
      <c r="G10" t="s">
        <v>11</v>
      </c>
      <c r="H10" t="s">
        <v>54</v>
      </c>
    </row>
    <row r="11" spans="1:8" x14ac:dyDescent="0.3">
      <c r="A11" s="1">
        <v>45662</v>
      </c>
      <c r="B11" t="s">
        <v>55</v>
      </c>
      <c r="C11" t="s">
        <v>56</v>
      </c>
      <c r="D11" t="s">
        <v>57</v>
      </c>
      <c r="E11">
        <v>9</v>
      </c>
      <c r="F11">
        <v>25</v>
      </c>
      <c r="G11" t="s">
        <v>58</v>
      </c>
      <c r="H11">
        <v>4</v>
      </c>
    </row>
    <row r="12" spans="1:8" x14ac:dyDescent="0.3">
      <c r="A12" s="1">
        <v>45663</v>
      </c>
      <c r="B12" t="s">
        <v>59</v>
      </c>
      <c r="C12" t="s">
        <v>60</v>
      </c>
      <c r="D12" t="s">
        <v>17</v>
      </c>
      <c r="E12" t="s">
        <v>61</v>
      </c>
      <c r="F12">
        <v>18</v>
      </c>
      <c r="G12" t="s">
        <v>25</v>
      </c>
      <c r="H12">
        <v>5</v>
      </c>
    </row>
    <row r="13" spans="1:8" x14ac:dyDescent="0.3">
      <c r="A13" s="1">
        <v>45809</v>
      </c>
      <c r="B13" t="s">
        <v>62</v>
      </c>
      <c r="C13" t="s">
        <v>20</v>
      </c>
      <c r="D13" t="s">
        <v>63</v>
      </c>
      <c r="E13">
        <v>5</v>
      </c>
      <c r="F13">
        <v>40</v>
      </c>
      <c r="G13" t="s">
        <v>27</v>
      </c>
      <c r="H13">
        <v>4</v>
      </c>
    </row>
    <row r="14" spans="1:8" x14ac:dyDescent="0.3">
      <c r="A14" s="1">
        <v>45664</v>
      </c>
      <c r="B14" t="s">
        <v>28</v>
      </c>
      <c r="C14" t="s">
        <v>64</v>
      </c>
      <c r="D14" t="s">
        <v>65</v>
      </c>
      <c r="E14">
        <v>2</v>
      </c>
      <c r="F14">
        <v>120</v>
      </c>
      <c r="G14" t="s">
        <v>18</v>
      </c>
      <c r="H14" t="s">
        <v>66</v>
      </c>
    </row>
    <row r="15" spans="1:8" x14ac:dyDescent="0.3">
      <c r="A15" s="1">
        <v>45664</v>
      </c>
      <c r="B15" t="s">
        <v>67</v>
      </c>
      <c r="C15" t="s">
        <v>68</v>
      </c>
      <c r="D15" t="s">
        <v>17</v>
      </c>
      <c r="E15">
        <v>20</v>
      </c>
      <c r="F15">
        <v>20</v>
      </c>
      <c r="G15" t="s">
        <v>69</v>
      </c>
      <c r="H15">
        <v>5</v>
      </c>
    </row>
    <row r="16" spans="1:8" x14ac:dyDescent="0.3">
      <c r="A16" s="1">
        <v>45665</v>
      </c>
      <c r="B16" t="s">
        <v>70</v>
      </c>
      <c r="C16" t="s">
        <v>71</v>
      </c>
      <c r="D16" t="s">
        <v>31</v>
      </c>
      <c r="E16">
        <v>12</v>
      </c>
      <c r="F16">
        <v>15</v>
      </c>
      <c r="G16" t="s">
        <v>32</v>
      </c>
      <c r="H16">
        <v>4</v>
      </c>
    </row>
    <row r="17" spans="1:8" x14ac:dyDescent="0.3">
      <c r="A17" s="1">
        <v>45665</v>
      </c>
      <c r="B17" t="s">
        <v>36</v>
      </c>
      <c r="C17" t="s">
        <v>37</v>
      </c>
      <c r="D17" t="s">
        <v>49</v>
      </c>
      <c r="E17" t="s">
        <v>72</v>
      </c>
      <c r="F17">
        <v>30</v>
      </c>
      <c r="G17" t="s">
        <v>18</v>
      </c>
      <c r="H17">
        <v>3</v>
      </c>
    </row>
    <row r="18" spans="1:8" x14ac:dyDescent="0.3">
      <c r="A18" s="1">
        <v>45901</v>
      </c>
      <c r="B18" t="s">
        <v>73</v>
      </c>
      <c r="C18" t="s">
        <v>74</v>
      </c>
      <c r="D18" t="s">
        <v>75</v>
      </c>
      <c r="E18">
        <v>6</v>
      </c>
      <c r="F18">
        <v>25</v>
      </c>
      <c r="G18" t="s">
        <v>76</v>
      </c>
      <c r="H18">
        <v>4</v>
      </c>
    </row>
    <row r="19" spans="1:8" x14ac:dyDescent="0.3">
      <c r="A19" s="1">
        <v>45666</v>
      </c>
      <c r="B19" t="s">
        <v>77</v>
      </c>
      <c r="C19" t="s">
        <v>30</v>
      </c>
      <c r="D19" t="s">
        <v>78</v>
      </c>
      <c r="E19">
        <v>14</v>
      </c>
      <c r="F19">
        <v>20</v>
      </c>
      <c r="G19" t="s">
        <v>27</v>
      </c>
      <c r="H19">
        <v>5</v>
      </c>
    </row>
    <row r="20" spans="1:8" x14ac:dyDescent="0.3">
      <c r="A20" s="1">
        <v>45667</v>
      </c>
      <c r="B20" t="s">
        <v>79</v>
      </c>
      <c r="C20" t="s">
        <v>24</v>
      </c>
      <c r="D20" t="s">
        <v>21</v>
      </c>
      <c r="E20">
        <v>8</v>
      </c>
      <c r="F20">
        <v>18</v>
      </c>
      <c r="G20" t="s">
        <v>25</v>
      </c>
    </row>
    <row r="21" spans="1:8" x14ac:dyDescent="0.3">
      <c r="A21" s="1">
        <v>45667</v>
      </c>
      <c r="B21" t="s">
        <v>80</v>
      </c>
      <c r="C21" t="s">
        <v>81</v>
      </c>
      <c r="D21" t="s">
        <v>52</v>
      </c>
      <c r="E21">
        <v>3</v>
      </c>
      <c r="F21">
        <v>120</v>
      </c>
      <c r="G21" t="s">
        <v>14</v>
      </c>
      <c r="H21">
        <v>5</v>
      </c>
    </row>
    <row r="22" spans="1:8" x14ac:dyDescent="0.3">
      <c r="A22" s="1">
        <v>45668</v>
      </c>
      <c r="B22" t="s">
        <v>50</v>
      </c>
      <c r="C22" t="s">
        <v>82</v>
      </c>
      <c r="D22" t="s">
        <v>78</v>
      </c>
      <c r="E22">
        <v>10</v>
      </c>
      <c r="F22" t="s">
        <v>83</v>
      </c>
      <c r="G22" t="s">
        <v>11</v>
      </c>
      <c r="H22">
        <v>4</v>
      </c>
    </row>
    <row r="23" spans="1:8" x14ac:dyDescent="0.3">
      <c r="A23" s="1">
        <v>45668</v>
      </c>
      <c r="B23" t="s">
        <v>48</v>
      </c>
      <c r="C23" t="s">
        <v>68</v>
      </c>
      <c r="D23" t="s">
        <v>17</v>
      </c>
      <c r="E23">
        <v>11</v>
      </c>
      <c r="F23">
        <v>15</v>
      </c>
      <c r="G23" t="s">
        <v>58</v>
      </c>
      <c r="H23">
        <v>3</v>
      </c>
    </row>
    <row r="24" spans="1:8" x14ac:dyDescent="0.3">
      <c r="A24" s="1">
        <v>45669</v>
      </c>
      <c r="B24" t="s">
        <v>84</v>
      </c>
      <c r="C24" t="s">
        <v>68</v>
      </c>
      <c r="D24" t="s">
        <v>85</v>
      </c>
      <c r="E24">
        <v>9</v>
      </c>
      <c r="F24">
        <v>20</v>
      </c>
      <c r="G24" t="s">
        <v>46</v>
      </c>
      <c r="H24">
        <v>4</v>
      </c>
    </row>
    <row r="25" spans="1:8" x14ac:dyDescent="0.3">
      <c r="A25" s="1">
        <v>45669</v>
      </c>
      <c r="B25" t="s">
        <v>19</v>
      </c>
      <c r="C25" t="s">
        <v>86</v>
      </c>
      <c r="D25" t="s">
        <v>10</v>
      </c>
      <c r="E25">
        <v>5</v>
      </c>
      <c r="F25">
        <v>25</v>
      </c>
      <c r="G25" t="s">
        <v>87</v>
      </c>
      <c r="H25">
        <v>5</v>
      </c>
    </row>
    <row r="26" spans="1:8" x14ac:dyDescent="0.3">
      <c r="A26" s="1">
        <v>45670</v>
      </c>
      <c r="B26" t="s">
        <v>88</v>
      </c>
      <c r="C26" t="s">
        <v>42</v>
      </c>
      <c r="D26" t="s">
        <v>13</v>
      </c>
      <c r="E26">
        <v>4</v>
      </c>
      <c r="F26">
        <v>120</v>
      </c>
      <c r="G26" t="s">
        <v>25</v>
      </c>
      <c r="H26">
        <v>5</v>
      </c>
    </row>
    <row r="27" spans="1:8" x14ac:dyDescent="0.3">
      <c r="A27" s="1">
        <v>45670</v>
      </c>
      <c r="B27" t="s">
        <v>89</v>
      </c>
      <c r="C27" t="s">
        <v>90</v>
      </c>
      <c r="D27" t="s">
        <v>49</v>
      </c>
      <c r="E27">
        <v>7</v>
      </c>
      <c r="F27">
        <v>15</v>
      </c>
      <c r="G27" t="s">
        <v>14</v>
      </c>
      <c r="H27">
        <v>3</v>
      </c>
    </row>
    <row r="28" spans="1:8" x14ac:dyDescent="0.3">
      <c r="A28" s="1">
        <v>45671</v>
      </c>
      <c r="B28" t="s">
        <v>50</v>
      </c>
      <c r="C28" t="s">
        <v>16</v>
      </c>
      <c r="D28" t="s">
        <v>75</v>
      </c>
      <c r="E28">
        <v>6</v>
      </c>
      <c r="F28">
        <v>30</v>
      </c>
      <c r="G28" t="s">
        <v>58</v>
      </c>
      <c r="H28" t="s">
        <v>91</v>
      </c>
    </row>
    <row r="29" spans="1:8" x14ac:dyDescent="0.3">
      <c r="A29" s="1">
        <v>45671</v>
      </c>
      <c r="B29" t="s">
        <v>41</v>
      </c>
      <c r="C29" t="s">
        <v>64</v>
      </c>
      <c r="D29" t="s">
        <v>52</v>
      </c>
      <c r="E29">
        <v>10</v>
      </c>
      <c r="F29">
        <v>18</v>
      </c>
      <c r="G29" t="s">
        <v>27</v>
      </c>
      <c r="H29">
        <v>5</v>
      </c>
    </row>
    <row r="30" spans="1:8" x14ac:dyDescent="0.3">
      <c r="A30" s="1">
        <v>45672</v>
      </c>
      <c r="B30" t="s">
        <v>92</v>
      </c>
      <c r="C30" t="s">
        <v>93</v>
      </c>
      <c r="D30" t="s">
        <v>57</v>
      </c>
      <c r="E30">
        <v>8</v>
      </c>
      <c r="F30">
        <v>25</v>
      </c>
      <c r="H30">
        <v>4</v>
      </c>
    </row>
    <row r="31" spans="1:8" x14ac:dyDescent="0.3">
      <c r="A31" s="1">
        <v>45672</v>
      </c>
      <c r="B31" t="s">
        <v>28</v>
      </c>
      <c r="C31" t="s">
        <v>94</v>
      </c>
      <c r="D31" t="s">
        <v>17</v>
      </c>
      <c r="E31">
        <v>5</v>
      </c>
      <c r="F31">
        <v>120</v>
      </c>
      <c r="G31" t="s">
        <v>11</v>
      </c>
      <c r="H31" t="s">
        <v>95</v>
      </c>
    </row>
    <row r="32" spans="1:8" x14ac:dyDescent="0.3">
      <c r="A32" t="s">
        <v>96</v>
      </c>
      <c r="B32" t="s">
        <v>97</v>
      </c>
      <c r="C32" t="s">
        <v>33</v>
      </c>
      <c r="D32" t="s">
        <v>31</v>
      </c>
      <c r="E32">
        <v>13</v>
      </c>
      <c r="F32">
        <v>20</v>
      </c>
      <c r="G32" t="s">
        <v>69</v>
      </c>
      <c r="H32">
        <v>5</v>
      </c>
    </row>
    <row r="33" spans="1:8" x14ac:dyDescent="0.3">
      <c r="A33" s="1">
        <v>45673</v>
      </c>
      <c r="B33" t="s">
        <v>98</v>
      </c>
      <c r="C33" t="s">
        <v>93</v>
      </c>
      <c r="D33" t="s">
        <v>49</v>
      </c>
      <c r="E33">
        <v>6</v>
      </c>
      <c r="F33">
        <v>40</v>
      </c>
      <c r="G33" t="s">
        <v>27</v>
      </c>
      <c r="H33">
        <v>4</v>
      </c>
    </row>
    <row r="34" spans="1:8" x14ac:dyDescent="0.3">
      <c r="A34" s="1">
        <v>45674</v>
      </c>
      <c r="B34" t="s">
        <v>99</v>
      </c>
      <c r="C34" t="s">
        <v>64</v>
      </c>
      <c r="D34" t="s">
        <v>78</v>
      </c>
      <c r="E34" t="s">
        <v>100</v>
      </c>
      <c r="F34">
        <v>18</v>
      </c>
      <c r="G34" t="s">
        <v>101</v>
      </c>
      <c r="H34">
        <v>3</v>
      </c>
    </row>
    <row r="35" spans="1:8" x14ac:dyDescent="0.3">
      <c r="A35" s="1">
        <v>45674</v>
      </c>
      <c r="B35" t="s">
        <v>48</v>
      </c>
      <c r="C35" t="s">
        <v>68</v>
      </c>
      <c r="D35" t="s">
        <v>17</v>
      </c>
      <c r="E35" t="s">
        <v>102</v>
      </c>
      <c r="F35">
        <v>15</v>
      </c>
      <c r="G35" t="s">
        <v>22</v>
      </c>
      <c r="H35">
        <v>5</v>
      </c>
    </row>
    <row r="36" spans="1:8" x14ac:dyDescent="0.3">
      <c r="A36" s="1">
        <v>45675</v>
      </c>
      <c r="B36" t="s">
        <v>36</v>
      </c>
      <c r="C36" t="s">
        <v>37</v>
      </c>
      <c r="D36" t="s">
        <v>10</v>
      </c>
      <c r="E36">
        <v>11</v>
      </c>
      <c r="F36">
        <v>30</v>
      </c>
      <c r="G36" t="s">
        <v>18</v>
      </c>
      <c r="H36">
        <v>4</v>
      </c>
    </row>
    <row r="37" spans="1:8" x14ac:dyDescent="0.3">
      <c r="A37" t="s">
        <v>103</v>
      </c>
      <c r="B37" t="s">
        <v>73</v>
      </c>
      <c r="C37" t="s">
        <v>74</v>
      </c>
      <c r="D37" t="s">
        <v>104</v>
      </c>
      <c r="E37">
        <v>7</v>
      </c>
      <c r="F37">
        <v>25</v>
      </c>
      <c r="G37" t="s">
        <v>11</v>
      </c>
      <c r="H37">
        <v>3</v>
      </c>
    </row>
    <row r="38" spans="1:8" x14ac:dyDescent="0.3">
      <c r="A38" s="1">
        <v>45676</v>
      </c>
      <c r="B38" t="s">
        <v>80</v>
      </c>
      <c r="C38" t="s">
        <v>47</v>
      </c>
      <c r="D38" t="s">
        <v>13</v>
      </c>
      <c r="E38">
        <v>3</v>
      </c>
      <c r="F38">
        <v>120</v>
      </c>
      <c r="G38" t="s">
        <v>27</v>
      </c>
      <c r="H38">
        <v>5</v>
      </c>
    </row>
    <row r="39" spans="1:8" x14ac:dyDescent="0.3">
      <c r="A39" s="1">
        <v>45676</v>
      </c>
      <c r="B39" t="s">
        <v>77</v>
      </c>
      <c r="C39" t="s">
        <v>105</v>
      </c>
      <c r="D39" t="s">
        <v>75</v>
      </c>
      <c r="E39">
        <v>10</v>
      </c>
      <c r="F39">
        <v>20</v>
      </c>
      <c r="G39" t="s">
        <v>14</v>
      </c>
      <c r="H39">
        <v>4</v>
      </c>
    </row>
    <row r="40" spans="1:8" x14ac:dyDescent="0.3">
      <c r="A40" s="1">
        <v>45677</v>
      </c>
      <c r="B40" t="s">
        <v>36</v>
      </c>
      <c r="C40" t="s">
        <v>16</v>
      </c>
      <c r="D40" t="s">
        <v>106</v>
      </c>
      <c r="E40">
        <v>12</v>
      </c>
      <c r="F40">
        <v>30</v>
      </c>
      <c r="G40" t="s">
        <v>107</v>
      </c>
      <c r="H40">
        <v>5</v>
      </c>
    </row>
    <row r="41" spans="1:8" x14ac:dyDescent="0.3">
      <c r="A41" s="1">
        <v>45677</v>
      </c>
      <c r="B41" t="s">
        <v>108</v>
      </c>
      <c r="C41" t="s">
        <v>56</v>
      </c>
      <c r="D41" t="s">
        <v>10</v>
      </c>
      <c r="E41">
        <v>5</v>
      </c>
      <c r="F41">
        <v>40</v>
      </c>
      <c r="G41" t="s">
        <v>22</v>
      </c>
      <c r="H41">
        <v>2</v>
      </c>
    </row>
    <row r="42" spans="1:8" x14ac:dyDescent="0.3">
      <c r="A42" s="1">
        <v>45678</v>
      </c>
      <c r="B42" t="s">
        <v>109</v>
      </c>
      <c r="C42" t="s">
        <v>24</v>
      </c>
      <c r="D42" t="s">
        <v>13</v>
      </c>
      <c r="E42">
        <v>6</v>
      </c>
      <c r="F42">
        <v>18</v>
      </c>
      <c r="G42" t="s">
        <v>110</v>
      </c>
      <c r="H42">
        <v>4</v>
      </c>
    </row>
    <row r="43" spans="1:8" x14ac:dyDescent="0.3">
      <c r="A43" t="s">
        <v>111</v>
      </c>
      <c r="B43" t="s">
        <v>97</v>
      </c>
      <c r="C43" t="s">
        <v>33</v>
      </c>
      <c r="D43" t="s">
        <v>104</v>
      </c>
      <c r="E43">
        <v>15</v>
      </c>
      <c r="F43">
        <v>20</v>
      </c>
      <c r="G43" t="s">
        <v>11</v>
      </c>
      <c r="H43">
        <v>5</v>
      </c>
    </row>
    <row r="44" spans="1:8" x14ac:dyDescent="0.3">
      <c r="A44" s="1">
        <v>45679</v>
      </c>
      <c r="B44" t="s">
        <v>48</v>
      </c>
      <c r="C44" t="s">
        <v>112</v>
      </c>
      <c r="D44" t="s">
        <v>52</v>
      </c>
      <c r="E44">
        <v>9</v>
      </c>
      <c r="F44">
        <v>15</v>
      </c>
      <c r="G44" t="s">
        <v>14</v>
      </c>
      <c r="H44">
        <v>4</v>
      </c>
    </row>
    <row r="45" spans="1:8" x14ac:dyDescent="0.3">
      <c r="A45" t="s">
        <v>113</v>
      </c>
      <c r="B45" t="s">
        <v>28</v>
      </c>
      <c r="C45" t="s">
        <v>64</v>
      </c>
      <c r="D45" t="s">
        <v>17</v>
      </c>
      <c r="E45">
        <v>4</v>
      </c>
      <c r="F45">
        <v>120</v>
      </c>
      <c r="G45" t="s">
        <v>107</v>
      </c>
      <c r="H45">
        <v>5</v>
      </c>
    </row>
    <row r="46" spans="1:8" x14ac:dyDescent="0.3">
      <c r="A46" s="1">
        <v>45680</v>
      </c>
      <c r="B46" t="s">
        <v>36</v>
      </c>
      <c r="C46" t="s">
        <v>114</v>
      </c>
      <c r="D46" t="s">
        <v>78</v>
      </c>
      <c r="E46">
        <v>14</v>
      </c>
      <c r="F46">
        <v>30</v>
      </c>
      <c r="G46" t="s">
        <v>27</v>
      </c>
      <c r="H46">
        <v>3</v>
      </c>
    </row>
    <row r="47" spans="1:8" x14ac:dyDescent="0.3">
      <c r="A47" s="1">
        <v>45680</v>
      </c>
      <c r="B47" t="s">
        <v>115</v>
      </c>
      <c r="C47" t="s">
        <v>20</v>
      </c>
      <c r="D47" t="s">
        <v>75</v>
      </c>
      <c r="E47">
        <v>8</v>
      </c>
      <c r="F47">
        <v>25</v>
      </c>
      <c r="G47" t="s">
        <v>22</v>
      </c>
      <c r="H47">
        <v>4</v>
      </c>
    </row>
    <row r="48" spans="1:8" x14ac:dyDescent="0.3">
      <c r="A48" s="1">
        <v>45681</v>
      </c>
      <c r="B48" t="s">
        <v>109</v>
      </c>
      <c r="C48" t="s">
        <v>64</v>
      </c>
      <c r="D48" t="s">
        <v>31</v>
      </c>
      <c r="E48">
        <v>7</v>
      </c>
      <c r="F48">
        <v>18</v>
      </c>
      <c r="G48" t="s">
        <v>18</v>
      </c>
      <c r="H48">
        <v>5</v>
      </c>
    </row>
    <row r="49" spans="1:8" x14ac:dyDescent="0.3">
      <c r="A49" s="1">
        <v>45681</v>
      </c>
      <c r="B49" t="s">
        <v>77</v>
      </c>
      <c r="C49" t="s">
        <v>116</v>
      </c>
      <c r="D49" t="s">
        <v>78</v>
      </c>
      <c r="E49">
        <v>9</v>
      </c>
      <c r="F49">
        <v>20</v>
      </c>
      <c r="G49" t="s">
        <v>11</v>
      </c>
      <c r="H49">
        <v>4</v>
      </c>
    </row>
    <row r="50" spans="1:8" x14ac:dyDescent="0.3">
      <c r="A50" s="1">
        <v>45682</v>
      </c>
      <c r="B50" t="s">
        <v>48</v>
      </c>
      <c r="C50" t="s">
        <v>117</v>
      </c>
      <c r="D50" t="s">
        <v>17</v>
      </c>
      <c r="E50">
        <v>10</v>
      </c>
      <c r="F50">
        <v>15</v>
      </c>
      <c r="G50" t="s">
        <v>14</v>
      </c>
      <c r="H50">
        <v>4</v>
      </c>
    </row>
    <row r="51" spans="1:8" x14ac:dyDescent="0.3">
      <c r="A51" s="1">
        <v>45682</v>
      </c>
      <c r="B51" t="s">
        <v>80</v>
      </c>
      <c r="C51" t="s">
        <v>47</v>
      </c>
      <c r="D51" t="s">
        <v>21</v>
      </c>
      <c r="E51">
        <v>2</v>
      </c>
      <c r="F51">
        <v>120</v>
      </c>
      <c r="G51" t="s">
        <v>22</v>
      </c>
      <c r="H51">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TABLES</vt:lpstr>
      <vt:lpstr>DASHBOARD</vt:lpstr>
      <vt:lpstr>DATASET AFTER</vt:lpstr>
      <vt:lpstr>ANALYSIS</vt:lpstr>
      <vt:lpstr>DATASET BEFORE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Sreesanth K</dc:creator>
  <cp:lastModifiedBy>Sreesanth K</cp:lastModifiedBy>
  <dcterms:created xsi:type="dcterms:W3CDTF">2025-12-05T12:49:23Z</dcterms:created>
  <dcterms:modified xsi:type="dcterms:W3CDTF">2025-12-06T11:02:47Z</dcterms:modified>
</cp:coreProperties>
</file>